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updateLinks="always" defaultThemeVersion="124226"/>
  <xr:revisionPtr revIDLastSave="0" documentId="8_{F58D1BEA-DA2F-46C0-AA93-9C0AF59A6705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Resumen Ejecutivo" sheetId="11" r:id="rId1"/>
    <sheet name="Resumen por Colaborador" sheetId="10" r:id="rId2"/>
    <sheet name="FREILINYER" sheetId="1" r:id="rId3"/>
    <sheet name="HISTORIAL FREILINYER" sheetId="15" r:id="rId4"/>
    <sheet name="DANIELA" sheetId="12" r:id="rId5"/>
    <sheet name="HISTORIAL DANIELA " sheetId="16" r:id="rId6"/>
    <sheet name="SAM" sheetId="4" r:id="rId7"/>
    <sheet name="INGRESOS 10%" sheetId="6" r:id="rId8"/>
    <sheet name="LISTA NEGRA NO PRESTAR" sheetId="7" r:id="rId9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B25" i="1"/>
  <c r="H25" i="1"/>
  <c r="H23" i="1"/>
  <c r="H26" i="1"/>
  <c r="L7" i="16"/>
  <c r="H7" i="16"/>
  <c r="G7" i="16"/>
  <c r="F7" i="16"/>
  <c r="E7" i="16"/>
  <c r="D7" i="16"/>
  <c r="I22" i="15"/>
  <c r="M21" i="15"/>
  <c r="H21" i="15"/>
  <c r="G21" i="15"/>
  <c r="F21" i="15"/>
  <c r="E21" i="15"/>
  <c r="D21" i="15"/>
  <c r="B21" i="15"/>
  <c r="H19" i="15"/>
  <c r="H22" i="15"/>
  <c r="I26" i="1"/>
  <c r="L7" i="12"/>
  <c r="H7" i="12"/>
  <c r="G7" i="12"/>
  <c r="F7" i="12"/>
  <c r="E7" i="12"/>
  <c r="D7" i="12"/>
  <c r="G25" i="1"/>
  <c r="M25" i="1"/>
  <c r="E25" i="1"/>
  <c r="F25" i="1"/>
  <c r="B13" i="11"/>
  <c r="B12" i="11"/>
  <c r="H5" i="11"/>
  <c r="D6" i="10"/>
  <c r="D5" i="10"/>
  <c r="B5" i="11"/>
  <c r="C6" i="10"/>
  <c r="C5" i="10"/>
  <c r="F8" i="11"/>
  <c r="E6" i="10"/>
  <c r="E5" i="10"/>
  <c r="C8" i="11"/>
  <c r="B6" i="10"/>
  <c r="B5" i="10"/>
  <c r="F5" i="10"/>
  <c r="F6" i="10"/>
  <c r="F5" i="11"/>
  <c r="D5" i="11"/>
  <c r="B7" i="12"/>
  <c r="B7" i="16"/>
</calcChain>
</file>

<file path=xl/sharedStrings.xml><?xml version="1.0" encoding="utf-8"?>
<sst xmlns="http://schemas.openxmlformats.org/spreadsheetml/2006/main" count="330" uniqueCount="137">
  <si>
    <t>Resumen ejecutivo · Control de préstamos</t>
  </si>
  <si>
    <t>Conversión del CSV a un libro de Excel con plantilla visual azul, resumen ejecutivo y hojas auxiliares de seguimiento.</t>
  </si>
  <si>
    <t>Total prestado</t>
  </si>
  <si>
    <t>Total interés</t>
  </si>
  <si>
    <t>Restante por cobrar</t>
  </si>
  <si>
    <t>Total a recibir</t>
  </si>
  <si>
    <t>Préstamos activos</t>
  </si>
  <si>
    <t>Retrasos</t>
  </si>
  <si>
    <t>Moneda</t>
  </si>
  <si>
    <t>DÓLARES BCV</t>
  </si>
  <si>
    <t>Estado</t>
  </si>
  <si>
    <t>Cantidad</t>
  </si>
  <si>
    <t>PENDIENTE</t>
  </si>
  <si>
    <t>RETRASADO</t>
  </si>
  <si>
    <t>Resumen por colaborador</t>
  </si>
  <si>
    <t>Concentrado de préstamos administrados por colaborador.</t>
  </si>
  <si>
    <t>Colaborador</t>
  </si>
  <si>
    <t>Préstamos</t>
  </si>
  <si>
    <t>Monto prestado</t>
  </si>
  <si>
    <t>Promedio por préstamo</t>
  </si>
  <si>
    <t>Daniela</t>
  </si>
  <si>
    <t>Freilinyer</t>
  </si>
  <si>
    <t>Control de préstamos</t>
  </si>
  <si>
    <t>Tabla principal con los datos importados del CSV y resaltado del resumen general.</t>
  </si>
  <si>
    <t>NOMBRE</t>
  </si>
  <si>
    <t>CANTIDAD PRESTADA</t>
  </si>
  <si>
    <t>MONEDA</t>
  </si>
  <si>
    <t>TOTAL INTERÉS</t>
  </si>
  <si>
    <t>ADELANTO RECIBIDO</t>
  </si>
  <si>
    <t>RESTANTE POR COBRAR</t>
  </si>
  <si>
    <t>RETRASOS</t>
  </si>
  <si>
    <t>TOTAL A RECIBIR</t>
  </si>
  <si>
    <t>RECIBIDO</t>
  </si>
  <si>
    <t>FECHA DE PRÉSTAMO</t>
  </si>
  <si>
    <t>FECHA DE REEMBOLSO</t>
  </si>
  <si>
    <t>ESTADO DEL PRÉSTAMO</t>
  </si>
  <si>
    <t>COLABORADOR</t>
  </si>
  <si>
    <t>JAVI EJERCITO</t>
  </si>
  <si>
    <t>3/31/2026</t>
  </si>
  <si>
    <t>LIVIA</t>
  </si>
  <si>
    <t>MARLON</t>
  </si>
  <si>
    <t>Pérez iturriago</t>
  </si>
  <si>
    <t>15/03/2026</t>
  </si>
  <si>
    <t>31/03/2016</t>
  </si>
  <si>
    <t xml:space="preserve">PENDIENTE </t>
  </si>
  <si>
    <t>AMAYRUS</t>
  </si>
  <si>
    <t>31/03/2026</t>
  </si>
  <si>
    <t>CAP CASTRO</t>
  </si>
  <si>
    <t xml:space="preserve"> $                             90,00 </t>
  </si>
  <si>
    <t>3/18/2026</t>
  </si>
  <si>
    <t>MONTEIRO</t>
  </si>
  <si>
    <t>DÍAZ</t>
  </si>
  <si>
    <t>CAP ARIAS</t>
  </si>
  <si>
    <t>RICHAR</t>
  </si>
  <si>
    <t>3/15/2026</t>
  </si>
  <si>
    <t>ALIS DUEÑO</t>
  </si>
  <si>
    <t>20/03/2026</t>
  </si>
  <si>
    <t>ALVARO GIL</t>
  </si>
  <si>
    <t xml:space="preserve">DARLING </t>
  </si>
  <si>
    <t>DOLARES BCV</t>
  </si>
  <si>
    <t>RONDON</t>
  </si>
  <si>
    <t>TOTAL RETRASOS</t>
  </si>
  <si>
    <t>Resumen</t>
  </si>
  <si>
    <t xml:space="preserve">TOTAL </t>
  </si>
  <si>
    <t>2/25/2026</t>
  </si>
  <si>
    <t>2/28/2026</t>
  </si>
  <si>
    <t>3/16/2026</t>
  </si>
  <si>
    <t>CASTAÑEDA</t>
  </si>
  <si>
    <t>WINI</t>
  </si>
  <si>
    <t>whitney</t>
  </si>
  <si>
    <t>SANCHES HEREDIA</t>
  </si>
  <si>
    <t>SAM · CARTERASAM · CARTERA</t>
  </si>
  <si>
    <t>MES</t>
  </si>
  <si>
    <t>NOV (30/11)</t>
  </si>
  <si>
    <t>DIC (31/12)</t>
  </si>
  <si>
    <t>ENE (31/01)</t>
  </si>
  <si>
    <t>FEB (28/02)</t>
  </si>
  <si>
    <t>MAR (31/03)</t>
  </si>
  <si>
    <t>ABR (30/04)</t>
  </si>
  <si>
    <t>MAY (31/05)</t>
  </si>
  <si>
    <t>JUN (30/06)</t>
  </si>
  <si>
    <t>JUL (31/07)</t>
  </si>
  <si>
    <t>AGO (31/08)</t>
  </si>
  <si>
    <t>sep(31/09)</t>
  </si>
  <si>
    <t>TOTAL PAGADO</t>
  </si>
  <si>
    <t xml:space="preserve">Noviembre </t>
  </si>
  <si>
    <t>Daniela Velásquez</t>
  </si>
  <si>
    <t>PAGO</t>
  </si>
  <si>
    <t>NO PAGO</t>
  </si>
  <si>
    <t>Solvente</t>
  </si>
  <si>
    <t>Diciembre</t>
  </si>
  <si>
    <t>Freilinyer Colmenarez</t>
  </si>
  <si>
    <t>Enero</t>
  </si>
  <si>
    <t xml:space="preserve">Sr Fanny </t>
  </si>
  <si>
    <t>Febrero</t>
  </si>
  <si>
    <t>Sr Edmary</t>
  </si>
  <si>
    <t>Marzo</t>
  </si>
  <si>
    <t>Eliu Martinez</t>
  </si>
  <si>
    <t>Abril</t>
  </si>
  <si>
    <t xml:space="preserve">Cap Castro </t>
  </si>
  <si>
    <t>TARDE</t>
  </si>
  <si>
    <t>Ultimo</t>
  </si>
  <si>
    <t>Mayo</t>
  </si>
  <si>
    <t>Julio Vargas</t>
  </si>
  <si>
    <t>Junio</t>
  </si>
  <si>
    <t>Freddy Vargas</t>
  </si>
  <si>
    <t>Julio</t>
  </si>
  <si>
    <t>Darling Rodríguez</t>
  </si>
  <si>
    <t>Agosto</t>
  </si>
  <si>
    <t>Romero Vicuña</t>
  </si>
  <si>
    <t>INGRESOS 10% / 8% · RESUMEN</t>
  </si>
  <si>
    <t>ORIGEN</t>
  </si>
  <si>
    <t>TOTAL PRESTADO</t>
  </si>
  <si>
    <t>TOTAL INTERESES</t>
  </si>
  <si>
    <t>% GESTIÓN</t>
  </si>
  <si>
    <t>TOTAL GESTIÓN</t>
  </si>
  <si>
    <t>RESPONSABLE</t>
  </si>
  <si>
    <t>OBSERVACIÓN</t>
  </si>
  <si>
    <t>LISTA NEGRA / NO PRESTAR</t>
  </si>
  <si>
    <t>NOMBRE APELLIDO</t>
  </si>
  <si>
    <t>CÉDULA</t>
  </si>
  <si>
    <t>ESTADO</t>
  </si>
  <si>
    <t>EMERSON SOJO</t>
  </si>
  <si>
    <t>PENDIENTE CÉDULA</t>
  </si>
  <si>
    <t>RAFAEL STUARD</t>
  </si>
  <si>
    <t>AVILA FERNANDEZ</t>
  </si>
  <si>
    <t>JULIO SEGOVIA</t>
  </si>
  <si>
    <t>SAMARY TERRASA BAR</t>
  </si>
  <si>
    <t>RODRIGUEZ PETIT</t>
  </si>
  <si>
    <t>TAIMAR CABELLO</t>
  </si>
  <si>
    <t>SARACUAL TTE DGCIM</t>
  </si>
  <si>
    <t>BAEZ FRANYER BANGU</t>
  </si>
  <si>
    <t>RUMION CARRION BANGU</t>
  </si>
  <si>
    <t>EZEQUIEL FUENTES BANGU</t>
  </si>
  <si>
    <t>MARCANO RUMION BANGU</t>
  </si>
  <si>
    <t>TN HERRERA ESTAFADOR DE BANGU</t>
  </si>
  <si>
    <t>DUBRASKA Pagoda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</si>
</sst>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[$$-409]#,##0.00"/>
    <numFmt numFmtId="166" formatCode="d/m/yyyy"/>
    <numFmt numFmtId="167" formatCode="\$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mbria"/>
      <scheme val="major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6"/>
      <color rgb="FFFFFFFF"/>
      <name val="Calibri"/>
      <scheme val="minor"/>
    </font>
    <font>
      <sz val="11"/>
      <name val="Calibri"/>
    </font>
    <font>
      <i/>
      <sz val="10"/>
      <color rgb="FF6B7280"/>
      <name val="Calibri"/>
      <scheme val="minor"/>
    </font>
    <font>
      <b/>
      <sz val="10"/>
      <color rgb="FF111827"/>
      <name val="Calibri"/>
      <scheme val="minor"/>
    </font>
    <font>
      <sz val="10"/>
      <color rgb="FF111827"/>
      <name val="Calibri"/>
      <scheme val="minor"/>
    </font>
    <font>
      <b/>
      <sz val="11"/>
      <color rgb="FFFFFFFF"/>
      <name val="Calibri"/>
      <scheme val="minor"/>
    </font>
    <font>
      <sz val="10"/>
      <color rgb="FF000000"/>
      <name val="Times New Roman"/>
    </font>
    <font>
      <sz val="11"/>
      <color rgb="FF000000"/>
      <name val="Cambria"/>
    </font>
    <font>
      <b/>
      <sz val="10"/>
      <color theme="1"/>
      <name val="Calibri"/>
      <scheme val="minor"/>
    </font>
    <font>
      <b/>
      <sz val="10"/>
      <color rgb="FF111827"/>
      <name val="Calibri"/>
      <charset val="1"/>
    </font>
    <font>
      <b/>
      <sz val="16"/>
      <color rgb="FFFFFFFF"/>
      <name val="Calibri"/>
      <charset val="1"/>
    </font>
    <font>
      <i/>
      <sz val="10"/>
      <color rgb="FF6B7280"/>
      <name val="Calibri"/>
      <charset val="1"/>
    </font>
    <font>
      <sz val="11"/>
      <color theme="1"/>
      <name val="Calibri"/>
      <charset val="1"/>
    </font>
    <font>
      <sz val="10"/>
      <color rgb="FF111827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mbria"/>
      <scheme val="major"/>
    </font>
    <font>
      <sz val="10"/>
      <color rgb="FF000000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b/>
      <sz val="12"/>
      <color theme="0"/>
      <name val="Calibri"/>
    </font>
    <font>
      <b/>
      <sz val="12"/>
      <color theme="0"/>
      <name val="Calibri"/>
      <charset val="1"/>
    </font>
    <font>
      <b/>
      <sz val="11"/>
      <color rgb="FF000000"/>
      <name val="Cambria"/>
    </font>
    <font>
      <b/>
      <sz val="11"/>
      <color rgb="FF000000"/>
      <name val="Cambria"/>
      <charset val="1"/>
    </font>
    <font>
      <sz val="11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11827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3B6D"/>
        <bgColor rgb="FF173B6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2753D7"/>
        <bgColor rgb="FF2753D7"/>
      </patternFill>
    </fill>
    <fill>
      <patternFill patternType="solid">
        <fgColor rgb="FFF7FAFF"/>
        <bgColor rgb="FFF7FAFF"/>
      </patternFill>
    </fill>
    <fill>
      <patternFill patternType="solid">
        <fgColor rgb="FF173B6D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7FF"/>
        <bgColor indexed="64"/>
      </patternFill>
    </fill>
    <fill>
      <patternFill patternType="solid">
        <fgColor rgb="FF2753D7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173B6D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CFA8B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D9E2F3"/>
      </bottom>
      <diagonal/>
    </border>
    <border>
      <left/>
      <right style="thin">
        <color rgb="FF000000"/>
      </right>
      <top/>
      <bottom style="thin">
        <color rgb="FFD9E2F3"/>
      </bottom>
      <diagonal/>
    </border>
    <border>
      <left style="thin">
        <color rgb="FF000000"/>
      </left>
      <right style="thin">
        <color rgb="FFD9E2F3"/>
      </right>
      <top/>
      <bottom style="thin">
        <color rgb="FFD9E2F3"/>
      </bottom>
      <diagonal/>
    </border>
    <border>
      <left style="thin">
        <color rgb="FF000000"/>
      </left>
      <right style="thin">
        <color rgb="FFD9E2F3"/>
      </right>
      <top/>
      <bottom/>
      <diagonal/>
    </border>
    <border>
      <left/>
      <right style="thin">
        <color rgb="FF000000"/>
      </right>
      <top style="thin">
        <color rgb="FFD9E2F3"/>
      </top>
      <bottom/>
      <diagonal/>
    </border>
    <border>
      <left style="thin">
        <color rgb="FF000000"/>
      </left>
      <right style="thin">
        <color rgb="FFD9E2F3"/>
      </right>
      <top/>
      <bottom style="thin">
        <color rgb="FF000000"/>
      </bottom>
      <diagonal/>
    </border>
    <border>
      <left/>
      <right style="thin">
        <color rgb="FFD9E2F3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9E2F3"/>
      </right>
      <top style="thin">
        <color rgb="FF000000"/>
      </top>
      <bottom/>
      <diagonal/>
    </border>
    <border>
      <left style="thin">
        <color rgb="FFD9E2F3"/>
      </left>
      <right/>
      <top style="thin">
        <color rgb="FF000000"/>
      </top>
      <bottom style="thin">
        <color rgb="FFD9E2F3"/>
      </bottom>
      <diagonal/>
    </border>
    <border>
      <left/>
      <right style="thin">
        <color rgb="FFD9E2F3"/>
      </right>
      <top style="thin">
        <color rgb="FF000000"/>
      </top>
      <bottom style="thin">
        <color rgb="FFD9E2F3"/>
      </bottom>
      <diagonal/>
    </border>
    <border>
      <left/>
      <right style="thin">
        <color rgb="FF000000"/>
      </right>
      <top style="thin">
        <color rgb="FF000000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9" fillId="8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 vertical="top" wrapText="1"/>
    </xf>
    <xf numFmtId="4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vertical="top" wrapText="1"/>
    </xf>
    <xf numFmtId="14" fontId="12" fillId="5" borderId="1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left" vertical="top" wrapText="1"/>
    </xf>
    <xf numFmtId="4" fontId="9" fillId="8" borderId="4" xfId="0" applyNumberFormat="1" applyFont="1" applyFill="1" applyBorder="1" applyAlignment="1">
      <alignment horizontal="left" vertical="top" wrapText="1"/>
    </xf>
    <xf numFmtId="0" fontId="17" fillId="0" borderId="5" xfId="0" applyFont="1" applyBorder="1" applyAlignment="1">
      <alignment readingOrder="1"/>
    </xf>
    <xf numFmtId="0" fontId="17" fillId="0" borderId="0" xfId="0" applyFont="1" applyAlignment="1">
      <alignment readingOrder="1"/>
    </xf>
    <xf numFmtId="0" fontId="17" fillId="0" borderId="9" xfId="0" applyFont="1" applyBorder="1" applyAlignment="1">
      <alignment readingOrder="1"/>
    </xf>
    <xf numFmtId="0" fontId="14" fillId="12" borderId="8" xfId="0" applyFont="1" applyFill="1" applyBorder="1" applyAlignment="1">
      <alignment wrapText="1" readingOrder="1"/>
    </xf>
    <xf numFmtId="0" fontId="19" fillId="13" borderId="8" xfId="0" applyFont="1" applyFill="1" applyBorder="1" applyAlignment="1">
      <alignment wrapText="1" readingOrder="1"/>
    </xf>
    <xf numFmtId="0" fontId="17" fillId="0" borderId="17" xfId="0" applyFont="1" applyBorder="1" applyAlignment="1">
      <alignment readingOrder="1"/>
    </xf>
    <xf numFmtId="0" fontId="17" fillId="0" borderId="18" xfId="0" applyFont="1" applyBorder="1" applyAlignment="1">
      <alignment readingOrder="1"/>
    </xf>
    <xf numFmtId="0" fontId="17" fillId="0" borderId="15" xfId="0" applyFont="1" applyBorder="1" applyAlignment="1">
      <alignment readingOrder="1"/>
    </xf>
    <xf numFmtId="0" fontId="17" fillId="0" borderId="20" xfId="0" applyFont="1" applyBorder="1" applyAlignment="1">
      <alignment readingOrder="1"/>
    </xf>
    <xf numFmtId="0" fontId="17" fillId="0" borderId="0" xfId="0" applyFont="1" applyBorder="1" applyAlignment="1">
      <alignment readingOrder="1"/>
    </xf>
    <xf numFmtId="0" fontId="17" fillId="0" borderId="16" xfId="0" applyFont="1" applyBorder="1" applyAlignment="1">
      <alignment readingOrder="1"/>
    </xf>
    <xf numFmtId="0" fontId="19" fillId="13" borderId="19" xfId="0" applyFont="1" applyFill="1" applyBorder="1" applyAlignment="1">
      <alignment wrapText="1" readingOrder="1"/>
    </xf>
    <xf numFmtId="0" fontId="18" fillId="14" borderId="19" xfId="0" applyFont="1" applyFill="1" applyBorder="1" applyAlignment="1">
      <alignment wrapText="1" readingOrder="1"/>
    </xf>
    <xf numFmtId="0" fontId="18" fillId="14" borderId="22" xfId="0" applyFont="1" applyFill="1" applyBorder="1" applyAlignment="1">
      <alignment wrapText="1" readingOrder="1"/>
    </xf>
    <xf numFmtId="0" fontId="14" fillId="11" borderId="23" xfId="0" applyFont="1" applyFill="1" applyBorder="1" applyAlignment="1">
      <alignment wrapText="1" readingOrder="1"/>
    </xf>
    <xf numFmtId="0" fontId="17" fillId="0" borderId="24" xfId="0" applyFont="1" applyBorder="1" applyAlignment="1">
      <alignment readingOrder="1"/>
    </xf>
    <xf numFmtId="0" fontId="17" fillId="0" borderId="25" xfId="0" applyFont="1" applyBorder="1" applyAlignment="1">
      <alignment readingOrder="1"/>
    </xf>
    <xf numFmtId="165" fontId="12" fillId="5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167" fontId="21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4" fontId="9" fillId="8" borderId="3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11" borderId="8" xfId="0" applyFont="1" applyFill="1" applyBorder="1" applyAlignment="1">
      <alignment wrapText="1" readingOrder="1"/>
    </xf>
    <xf numFmtId="0" fontId="14" fillId="11" borderId="18" xfId="0" applyFont="1" applyFill="1" applyBorder="1" applyAlignment="1">
      <alignment wrapText="1" readingOrder="1"/>
    </xf>
    <xf numFmtId="0" fontId="26" fillId="18" borderId="1" xfId="0" applyFont="1" applyFill="1" applyBorder="1" applyAlignment="1"/>
    <xf numFmtId="0" fontId="26" fillId="18" borderId="3" xfId="0" applyFont="1" applyFill="1" applyBorder="1" applyAlignment="1"/>
    <xf numFmtId="14" fontId="26" fillId="18" borderId="3" xfId="0" applyNumberFormat="1" applyFont="1" applyFill="1" applyBorder="1" applyAlignment="1"/>
    <xf numFmtId="0" fontId="27" fillId="0" borderId="3" xfId="0" applyFont="1" applyFill="1" applyBorder="1" applyAlignment="1"/>
    <xf numFmtId="14" fontId="27" fillId="0" borderId="3" xfId="0" applyNumberFormat="1" applyFont="1" applyFill="1" applyBorder="1" applyAlignment="1"/>
    <xf numFmtId="0" fontId="17" fillId="0" borderId="26" xfId="0" applyFont="1" applyBorder="1" applyAlignment="1">
      <alignment readingOrder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top" wrapText="1"/>
    </xf>
    <xf numFmtId="164" fontId="13" fillId="6" borderId="1" xfId="0" applyNumberFormat="1" applyFont="1" applyFill="1" applyBorder="1" applyAlignment="1">
      <alignment horizontal="center" vertical="top" wrapText="1"/>
    </xf>
    <xf numFmtId="164" fontId="4" fillId="6" borderId="1" xfId="0" applyNumberFormat="1" applyFont="1" applyFill="1" applyBorder="1" applyAlignment="1">
      <alignment horizontal="center" vertical="top" wrapText="1"/>
    </xf>
    <xf numFmtId="164" fontId="8" fillId="6" borderId="1" xfId="0" applyNumberFormat="1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4" fontId="9" fillId="8" borderId="1" xfId="0" applyNumberFormat="1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4" fontId="9" fillId="5" borderId="1" xfId="0" applyNumberFormat="1" applyFont="1" applyFill="1" applyBorder="1" applyAlignment="1">
      <alignment horizontal="left" vertical="top" wrapText="1"/>
    </xf>
    <xf numFmtId="0" fontId="3" fillId="19" borderId="1" xfId="0" applyFont="1" applyFill="1" applyBorder="1" applyAlignment="1">
      <alignment horizontal="center"/>
    </xf>
    <xf numFmtId="164" fontId="3" fillId="19" borderId="1" xfId="0" applyNumberFormat="1" applyFont="1" applyFill="1" applyBorder="1" applyAlignment="1">
      <alignment horizontal="center"/>
    </xf>
    <xf numFmtId="14" fontId="3" fillId="19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164" fontId="4" fillId="20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64" fontId="8" fillId="6" borderId="2" xfId="0" applyNumberFormat="1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164" fontId="4" fillId="20" borderId="3" xfId="0" applyNumberFormat="1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8" fillId="6" borderId="3" xfId="0" applyNumberFormat="1" applyFont="1" applyFill="1" applyBorder="1" applyAlignment="1">
      <alignment horizontal="center" vertical="top" wrapText="1"/>
    </xf>
    <xf numFmtId="164" fontId="4" fillId="20" borderId="0" xfId="0" applyNumberFormat="1" applyFont="1" applyFill="1" applyBorder="1" applyAlignment="1">
      <alignment horizontal="center"/>
    </xf>
    <xf numFmtId="164" fontId="3" fillId="21" borderId="1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14" fontId="3" fillId="21" borderId="1" xfId="0" applyNumberFormat="1" applyFont="1" applyFill="1" applyBorder="1" applyAlignment="1">
      <alignment horizontal="center"/>
    </xf>
    <xf numFmtId="164" fontId="3" fillId="21" borderId="30" xfId="0" applyNumberFormat="1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164" fontId="3" fillId="22" borderId="1" xfId="0" applyNumberFormat="1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 vertical="top" wrapText="1"/>
    </xf>
    <xf numFmtId="164" fontId="9" fillId="22" borderId="3" xfId="0" applyNumberFormat="1" applyFont="1" applyFill="1" applyBorder="1" applyAlignment="1">
      <alignment horizontal="center" vertical="top" wrapText="1"/>
    </xf>
    <xf numFmtId="164" fontId="9" fillId="22" borderId="1" xfId="0" applyNumberFormat="1" applyFont="1" applyFill="1" applyBorder="1" applyAlignment="1">
      <alignment horizontal="center" vertical="top" wrapText="1"/>
    </xf>
    <xf numFmtId="164" fontId="3" fillId="22" borderId="1" xfId="0" applyNumberFormat="1" applyFont="1" applyFill="1" applyBorder="1" applyAlignment="1">
      <alignment horizontal="center"/>
    </xf>
    <xf numFmtId="166" fontId="3" fillId="22" borderId="1" xfId="0" applyNumberFormat="1" applyFont="1" applyFill="1" applyBorder="1" applyAlignment="1">
      <alignment horizontal="center"/>
    </xf>
    <xf numFmtId="14" fontId="3" fillId="22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9" fillId="2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9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top" wrapText="1"/>
    </xf>
    <xf numFmtId="164" fontId="9" fillId="2" borderId="3" xfId="0" applyNumberFormat="1" applyFont="1" applyFill="1" applyBorder="1" applyAlignment="1">
      <alignment horizontal="center" vertical="top" wrapText="1"/>
    </xf>
    <xf numFmtId="164" fontId="9" fillId="2" borderId="1" xfId="0" applyNumberFormat="1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4" fontId="8" fillId="22" borderId="1" xfId="0" applyNumberFormat="1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/>
    </xf>
    <xf numFmtId="164" fontId="32" fillId="2" borderId="1" xfId="0" applyNumberFormat="1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top" wrapText="1"/>
    </xf>
    <xf numFmtId="164" fontId="0" fillId="2" borderId="1" xfId="0" applyNumberFormat="1" applyFill="1" applyBorder="1" applyAlignment="1">
      <alignment horizontal="center" vertical="center"/>
    </xf>
    <xf numFmtId="164" fontId="33" fillId="2" borderId="3" xfId="0" applyNumberFormat="1" applyFont="1" applyFill="1" applyBorder="1" applyAlignment="1">
      <alignment horizontal="center" vertical="top" wrapText="1"/>
    </xf>
    <xf numFmtId="164" fontId="33" fillId="2" borderId="1" xfId="0" applyNumberFormat="1" applyFont="1" applyFill="1" applyBorder="1" applyAlignment="1">
      <alignment horizontal="center" vertical="top" wrapText="1"/>
    </xf>
    <xf numFmtId="164" fontId="32" fillId="2" borderId="1" xfId="0" applyNumberFormat="1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 vertical="top" wrapText="1"/>
    </xf>
    <xf numFmtId="14" fontId="32" fillId="2" borderId="1" xfId="0" applyNumberFormat="1" applyFont="1" applyFill="1" applyBorder="1" applyAlignment="1">
      <alignment horizontal="center"/>
    </xf>
    <xf numFmtId="164" fontId="3" fillId="2" borderId="30" xfId="0" applyNumberFormat="1" applyFont="1" applyFill="1" applyBorder="1" applyAlignment="1">
      <alignment horizontal="center"/>
    </xf>
    <xf numFmtId="164" fontId="14" fillId="11" borderId="8" xfId="0" applyNumberFormat="1" applyFont="1" applyFill="1" applyBorder="1" applyAlignment="1">
      <alignment wrapText="1" readingOrder="1"/>
    </xf>
    <xf numFmtId="0" fontId="5" fillId="3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0" fontId="15" fillId="9" borderId="12" xfId="0" applyFont="1" applyFill="1" applyBorder="1" applyAlignment="1">
      <alignment readingOrder="1"/>
    </xf>
    <xf numFmtId="0" fontId="15" fillId="9" borderId="13" xfId="0" applyFont="1" applyFill="1" applyBorder="1" applyAlignment="1">
      <alignment readingOrder="1"/>
    </xf>
    <xf numFmtId="0" fontId="15" fillId="9" borderId="14" xfId="0" applyFont="1" applyFill="1" applyBorder="1" applyAlignment="1">
      <alignment readingOrder="1"/>
    </xf>
    <xf numFmtId="0" fontId="16" fillId="10" borderId="15" xfId="0" applyFont="1" applyFill="1" applyBorder="1" applyAlignment="1">
      <alignment wrapText="1" readingOrder="1"/>
    </xf>
    <xf numFmtId="0" fontId="16" fillId="10" borderId="0" xfId="0" applyFont="1" applyFill="1" applyBorder="1" applyAlignment="1">
      <alignment wrapText="1" readingOrder="1"/>
    </xf>
    <xf numFmtId="0" fontId="16" fillId="10" borderId="16" xfId="0" applyFont="1" applyFill="1" applyBorder="1" applyAlignment="1">
      <alignment wrapText="1" readingOrder="1"/>
    </xf>
    <xf numFmtId="164" fontId="14" fillId="11" borderId="7" xfId="0" applyNumberFormat="1" applyFont="1" applyFill="1" applyBorder="1" applyAlignment="1">
      <alignment wrapText="1" readingOrder="1"/>
    </xf>
    <xf numFmtId="164" fontId="14" fillId="11" borderId="10" xfId="0" applyNumberFormat="1" applyFont="1" applyFill="1" applyBorder="1" applyAlignment="1">
      <alignment wrapText="1" readingOrder="1"/>
    </xf>
    <xf numFmtId="164" fontId="14" fillId="11" borderId="5" xfId="0" applyNumberFormat="1" applyFont="1" applyFill="1" applyBorder="1" applyAlignment="1">
      <alignment wrapText="1" readingOrder="1"/>
    </xf>
    <xf numFmtId="164" fontId="14" fillId="11" borderId="8" xfId="0" applyNumberFormat="1" applyFont="1" applyFill="1" applyBorder="1" applyAlignment="1">
      <alignment wrapText="1" readingOrder="1"/>
    </xf>
    <xf numFmtId="164" fontId="14" fillId="11" borderId="6" xfId="0" applyNumberFormat="1" applyFont="1" applyFill="1" applyBorder="1" applyAlignment="1">
      <alignment wrapText="1" readingOrder="1"/>
    </xf>
    <xf numFmtId="164" fontId="14" fillId="11" borderId="11" xfId="0" applyNumberFormat="1" applyFont="1" applyFill="1" applyBorder="1" applyAlignment="1">
      <alignment wrapText="1" readingOrder="1"/>
    </xf>
    <xf numFmtId="164" fontId="14" fillId="11" borderId="21" xfId="0" applyNumberFormat="1" applyFont="1" applyFill="1" applyBorder="1" applyAlignment="1">
      <alignment wrapText="1" readingOrder="1"/>
    </xf>
    <xf numFmtId="164" fontId="14" fillId="11" borderId="18" xfId="0" applyNumberFormat="1" applyFont="1" applyFill="1" applyBorder="1" applyAlignment="1">
      <alignment wrapText="1" readingOrder="1"/>
    </xf>
    <xf numFmtId="0" fontId="14" fillId="12" borderId="27" xfId="0" applyFont="1" applyFill="1" applyBorder="1" applyAlignment="1">
      <alignment wrapText="1" readingOrder="1"/>
    </xf>
    <xf numFmtId="0" fontId="14" fillId="12" borderId="28" xfId="0" applyFont="1" applyFill="1" applyBorder="1" applyAlignment="1">
      <alignment wrapText="1" readingOrder="1"/>
    </xf>
    <xf numFmtId="0" fontId="14" fillId="12" borderId="29" xfId="0" applyFont="1" applyFill="1" applyBorder="1" applyAlignment="1">
      <alignment wrapText="1" readingOrder="1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/>
    <xf numFmtId="0" fontId="7" fillId="4" borderId="0" xfId="0" applyFont="1" applyFill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30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19" borderId="1" xfId="0" applyFont="1" applyFill="1" applyBorder="1" applyAlignment="1">
      <alignment horizontal="center"/>
    </xf>
    <xf numFmtId="164" fontId="1" fillId="19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22" borderId="1" xfId="0" applyNumberFormat="1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164" fontId="1" fillId="21" borderId="1" xfId="0" applyNumberFormat="1" applyFont="1" applyFill="1" applyBorder="1" applyAlignment="1">
      <alignment horizontal="center"/>
    </xf>
    <xf numFmtId="164" fontId="1" fillId="21" borderId="30" xfId="0" applyNumberFormat="1" applyFont="1" applyFill="1" applyBorder="1" applyAlignment="1">
      <alignment horizontal="center"/>
    </xf>
    <xf numFmtId="14" fontId="1" fillId="21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$-409]#,##0.00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$-409]#,##0.00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_-[$$-409]* #,##0.00_ ;_-[$$-409]* \-#,##0.00\ ;_-[$$-409]* &quot;-&quot;??_ ;_-@_ 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numFmt numFmtId="164" formatCode="_-[$$-409]* #,##0.00_ ;_-[$$-409]* \-#,##0.00\ ;_-[$$-409]* &quot;-&quot;??_ ;_-@_ "/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numFmt numFmtId="164" formatCode="_-[$$-409]* #,##0.00_ ;_-[$$-409]* \-#,##0.00\ ;_-[$$-409]* &quot;-&quot;??_ ;_-@_ "/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  <dxf>
      <font>
        <name val="Calibri"/>
        <scheme val="minor"/>
      </font>
      <fill>
        <patternFill patternType="solid">
          <fgColor indexed="64"/>
          <bgColor theme="0"/>
        </patternFill>
      </fill>
      <alignment horizontal="center"/>
    </dxf>
  </dxfs>
  <tableStyles count="0" defaultTableStyle="TableStyleMedium9" defaultPivotStyle="PivotStyleLight16"/>
  <colors>
    <mruColors>
      <color rgb="FF0CFA8B"/>
      <color rgb="FF1AA8EB"/>
      <color rgb="FF32A4E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Ejecutivo'!$A$9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'Resumen Ejecutivo'!$B$1:$I$8</c:f>
              <c:multiLvlStrCache>
                <c:ptCount val="8"/>
                <c:lvl>
                  <c:pt idx="0">
                    <c:v>Préstamos activos</c:v>
                  </c:pt>
                  <c:pt idx="1">
                    <c:v>15</c:v>
                  </c:pt>
                  <c:pt idx="3">
                    <c:v>Retrasos</c:v>
                  </c:pt>
                  <c:pt idx="4">
                    <c:v> $179.00 </c:v>
                  </c:pt>
                  <c:pt idx="6">
                    <c:v>Moneda</c:v>
                  </c:pt>
                  <c:pt idx="7">
                    <c:v>DÓLARES BCV</c:v>
                  </c:pt>
                </c:lvl>
                <c:lvl/>
                <c:lvl/>
                <c:lvl>
                  <c:pt idx="0">
                    <c:v> $1,524.00 </c:v>
                  </c:pt>
                  <c:pt idx="2">
                    <c:v> $703.50 </c:v>
                  </c:pt>
                  <c:pt idx="4">
                    <c:v> $-   </c:v>
                  </c:pt>
                  <c:pt idx="6">
                    <c:v> $2,150.00 </c:v>
                  </c:pt>
                </c:lvl>
                <c:lvl>
                  <c:pt idx="0">
                    <c:v>Total prestado</c:v>
                  </c:pt>
                  <c:pt idx="2">
                    <c:v>Total interés</c:v>
                  </c:pt>
                  <c:pt idx="4">
                    <c:v>Restante por cobrar</c:v>
                  </c:pt>
                  <c:pt idx="6">
                    <c:v>Total a recibir</c:v>
                  </c:pt>
                </c:lvl>
                <c:lvl/>
                <c:lvl/>
                <c:lvl/>
              </c:multiLvlStrCache>
            </c:multiLvlStrRef>
          </c:cat>
          <c:val>
            <c:numRef>
              <c:f>'Resumen Ejecutivo'!$B$9:$I$9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60-40D0-B4EC-1D44BAF7D82E}"/>
            </c:ext>
          </c:extLst>
        </c:ser>
        <c:ser>
          <c:idx val="1"/>
          <c:order val="1"/>
          <c:tx>
            <c:strRef>
              <c:f>'Resumen Ejecutivo'!$A$10</c:f>
              <c:strCache>
                <c:ptCount val="1"/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'Resumen Ejecutivo'!$B$1:$I$8</c:f>
              <c:multiLvlStrCache>
                <c:ptCount val="8"/>
                <c:lvl>
                  <c:pt idx="0">
                    <c:v>Préstamos activos</c:v>
                  </c:pt>
                  <c:pt idx="1">
                    <c:v>15</c:v>
                  </c:pt>
                  <c:pt idx="3">
                    <c:v>Retrasos</c:v>
                  </c:pt>
                  <c:pt idx="4">
                    <c:v> $179.00 </c:v>
                  </c:pt>
                  <c:pt idx="6">
                    <c:v>Moneda</c:v>
                  </c:pt>
                  <c:pt idx="7">
                    <c:v>DÓLARES BCV</c:v>
                  </c:pt>
                </c:lvl>
                <c:lvl/>
                <c:lvl/>
                <c:lvl>
                  <c:pt idx="0">
                    <c:v> $1,524.00 </c:v>
                  </c:pt>
                  <c:pt idx="2">
                    <c:v> $703.50 </c:v>
                  </c:pt>
                  <c:pt idx="4">
                    <c:v> $-   </c:v>
                  </c:pt>
                  <c:pt idx="6">
                    <c:v> $2,150.00 </c:v>
                  </c:pt>
                </c:lvl>
                <c:lvl>
                  <c:pt idx="0">
                    <c:v>Total prestado</c:v>
                  </c:pt>
                  <c:pt idx="2">
                    <c:v>Total interés</c:v>
                  </c:pt>
                  <c:pt idx="4">
                    <c:v>Restante por cobrar</c:v>
                  </c:pt>
                  <c:pt idx="6">
                    <c:v>Total a recibir</c:v>
                  </c:pt>
                </c:lvl>
                <c:lvl/>
                <c:lvl/>
                <c:lvl/>
              </c:multiLvlStrCache>
            </c:multiLvlStrRef>
          </c:cat>
          <c:val>
            <c:numRef>
              <c:f>'Resumen Ejecutivo'!$B$10:$I$10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AC60-40D0-B4EC-1D44BAF7D82E}"/>
            </c:ext>
          </c:extLst>
        </c:ser>
        <c:ser>
          <c:idx val="2"/>
          <c:order val="2"/>
          <c:tx>
            <c:strRef>
              <c:f>'Resumen Ejecutivo'!$A$11</c:f>
              <c:strCache>
                <c:ptCount val="1"/>
                <c:pt idx="0">
                  <c:v>Estado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'Resumen Ejecutivo'!$B$1:$I$8</c:f>
              <c:multiLvlStrCache>
                <c:ptCount val="8"/>
                <c:lvl>
                  <c:pt idx="0">
                    <c:v>Préstamos activos</c:v>
                  </c:pt>
                  <c:pt idx="1">
                    <c:v>15</c:v>
                  </c:pt>
                  <c:pt idx="3">
                    <c:v>Retrasos</c:v>
                  </c:pt>
                  <c:pt idx="4">
                    <c:v> $179.00 </c:v>
                  </c:pt>
                  <c:pt idx="6">
                    <c:v>Moneda</c:v>
                  </c:pt>
                  <c:pt idx="7">
                    <c:v>DÓLARES BCV</c:v>
                  </c:pt>
                </c:lvl>
                <c:lvl/>
                <c:lvl/>
                <c:lvl>
                  <c:pt idx="0">
                    <c:v> $1,524.00 </c:v>
                  </c:pt>
                  <c:pt idx="2">
                    <c:v> $703.50 </c:v>
                  </c:pt>
                  <c:pt idx="4">
                    <c:v> $-   </c:v>
                  </c:pt>
                  <c:pt idx="6">
                    <c:v> $2,150.00 </c:v>
                  </c:pt>
                </c:lvl>
                <c:lvl>
                  <c:pt idx="0">
                    <c:v>Total prestado</c:v>
                  </c:pt>
                  <c:pt idx="2">
                    <c:v>Total interés</c:v>
                  </c:pt>
                  <c:pt idx="4">
                    <c:v>Restante por cobrar</c:v>
                  </c:pt>
                  <c:pt idx="6">
                    <c:v>Total a recibir</c:v>
                  </c:pt>
                </c:lvl>
                <c:lvl/>
                <c:lvl/>
                <c:lvl/>
              </c:multiLvlStrCache>
            </c:multiLvlStrRef>
          </c:cat>
          <c:val>
            <c:numRef>
              <c:f>'Resumen Ejecutivo'!$B$11:$I$11</c:f>
              <c:numCache>
                <c:formatCode>General</c:formatCode>
                <c:ptCount val="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0-40D0-B4EC-1D44BAF7D82E}"/>
            </c:ext>
          </c:extLst>
        </c:ser>
        <c:ser>
          <c:idx val="3"/>
          <c:order val="3"/>
          <c:tx>
            <c:strRef>
              <c:f>'Resumen Ejecutivo'!$A$12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'Resumen Ejecutivo'!$B$1:$I$8</c:f>
              <c:multiLvlStrCache>
                <c:ptCount val="8"/>
                <c:lvl>
                  <c:pt idx="0">
                    <c:v>Préstamos activos</c:v>
                  </c:pt>
                  <c:pt idx="1">
                    <c:v>15</c:v>
                  </c:pt>
                  <c:pt idx="3">
                    <c:v>Retrasos</c:v>
                  </c:pt>
                  <c:pt idx="4">
                    <c:v> $179.00 </c:v>
                  </c:pt>
                  <c:pt idx="6">
                    <c:v>Moneda</c:v>
                  </c:pt>
                  <c:pt idx="7">
                    <c:v>DÓLARES BCV</c:v>
                  </c:pt>
                </c:lvl>
                <c:lvl/>
                <c:lvl/>
                <c:lvl>
                  <c:pt idx="0">
                    <c:v> $1,524.00 </c:v>
                  </c:pt>
                  <c:pt idx="2">
                    <c:v> $703.50 </c:v>
                  </c:pt>
                  <c:pt idx="4">
                    <c:v> $-   </c:v>
                  </c:pt>
                  <c:pt idx="6">
                    <c:v> $2,150.00 </c:v>
                  </c:pt>
                </c:lvl>
                <c:lvl>
                  <c:pt idx="0">
                    <c:v>Total prestado</c:v>
                  </c:pt>
                  <c:pt idx="2">
                    <c:v>Total interés</c:v>
                  </c:pt>
                  <c:pt idx="4">
                    <c:v>Restante por cobrar</c:v>
                  </c:pt>
                  <c:pt idx="6">
                    <c:v>Total a recibir</c:v>
                  </c:pt>
                </c:lvl>
                <c:lvl/>
                <c:lvl/>
                <c:lvl/>
              </c:multiLvlStrCache>
            </c:multiLvlStrRef>
          </c:cat>
          <c:val>
            <c:numRef>
              <c:f>'Resumen Ejecutivo'!$B$12:$I$12</c:f>
              <c:numCache>
                <c:formatCode>General</c:formatCode>
                <c:ptCount val="8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60-40D0-B4EC-1D44BAF7D82E}"/>
            </c:ext>
          </c:extLst>
        </c:ser>
        <c:ser>
          <c:idx val="4"/>
          <c:order val="4"/>
          <c:tx>
            <c:strRef>
              <c:f>'Resumen Ejecutivo'!$A$13</c:f>
              <c:strCache>
                <c:ptCount val="1"/>
                <c:pt idx="0">
                  <c:v>RETRASADO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'Resumen Ejecutivo'!$B$1:$I$8</c:f>
              <c:multiLvlStrCache>
                <c:ptCount val="8"/>
                <c:lvl>
                  <c:pt idx="0">
                    <c:v>Préstamos activos</c:v>
                  </c:pt>
                  <c:pt idx="1">
                    <c:v>15</c:v>
                  </c:pt>
                  <c:pt idx="3">
                    <c:v>Retrasos</c:v>
                  </c:pt>
                  <c:pt idx="4">
                    <c:v> $179.00 </c:v>
                  </c:pt>
                  <c:pt idx="6">
                    <c:v>Moneda</c:v>
                  </c:pt>
                  <c:pt idx="7">
                    <c:v>DÓLARES BCV</c:v>
                  </c:pt>
                </c:lvl>
                <c:lvl/>
                <c:lvl/>
                <c:lvl>
                  <c:pt idx="0">
                    <c:v> $1,524.00 </c:v>
                  </c:pt>
                  <c:pt idx="2">
                    <c:v> $703.50 </c:v>
                  </c:pt>
                  <c:pt idx="4">
                    <c:v> $-   </c:v>
                  </c:pt>
                  <c:pt idx="6">
                    <c:v> $2,150.00 </c:v>
                  </c:pt>
                </c:lvl>
                <c:lvl>
                  <c:pt idx="0">
                    <c:v>Total prestado</c:v>
                  </c:pt>
                  <c:pt idx="2">
                    <c:v>Total interés</c:v>
                  </c:pt>
                  <c:pt idx="4">
                    <c:v>Restante por cobrar</c:v>
                  </c:pt>
                  <c:pt idx="6">
                    <c:v>Total a recibir</c:v>
                  </c:pt>
                </c:lvl>
                <c:lvl/>
                <c:lvl/>
                <c:lvl/>
              </c:multiLvlStrCache>
            </c:multiLvlStrRef>
          </c:cat>
          <c:val>
            <c:numRef>
              <c:f>'Resumen Ejecutivo'!$B$13:$I$13</c:f>
              <c:numCache>
                <c:formatCode>General</c:formatCode>
                <c:ptCount val="8"/>
                <c:pt idx="0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60-40D0-B4EC-1D44BAF7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599944"/>
        <c:axId val="602603016"/>
      </c:barChart>
      <c:catAx>
        <c:axId val="60259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3016"/>
        <c:crosses val="autoZero"/>
        <c:auto val="1"/>
        <c:lblAlgn val="ctr"/>
        <c:lblOffset val="100"/>
        <c:noMultiLvlLbl val="0"/>
      </c:catAx>
      <c:valAx>
        <c:axId val="60260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9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0</xdr:row>
      <xdr:rowOff>0</xdr:rowOff>
    </xdr:from>
    <xdr:to>
      <xdr:col>17</xdr:col>
      <xdr:colOff>295275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D13048-7891-F241-BA71-DF606E1FF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BF1C3-2FFD-4EEB-B84E-DA26FB529889}" name="Tabla_1" displayName="Tabla_1" ref="A4:M19" headerRowDxfId="37" dataDxfId="36" totalsRowDxfId="35">
  <tableColumns count="13">
    <tableColumn id="1" xr3:uid="{5AF2317B-4204-4C4C-B598-34CE5674E1DF}" name="NOMBRE" dataDxfId="34"/>
    <tableColumn id="2" xr3:uid="{E7B2732E-04DB-4A7E-BC52-1E638F67BCEF}" name="CANTIDAD PRESTADA" dataDxfId="33"/>
    <tableColumn id="3" xr3:uid="{948D8400-CCEF-4248-9C4B-B6ED87D1FDFC}" name="MONEDA" dataDxfId="32"/>
    <tableColumn id="4" xr3:uid="{EEA720F5-A048-418A-BC6F-5670204387F0}" name="TOTAL INTERÉS" dataDxfId="31"/>
    <tableColumn id="5" xr3:uid="{F42878FB-ABDA-429B-883F-8ADCD75A498B}" name="ADELANTO RECIBIDO" dataDxfId="30"/>
    <tableColumn id="6" xr3:uid="{ABD5B07C-77E9-4230-A1EF-DEA3D5B3CFAB}" name="RESTANTE POR COBRAR" dataDxfId="29"/>
    <tableColumn id="7" xr3:uid="{76AF67A7-DA40-4628-840D-F54702B0EE8C}" name="RETRASOS" dataDxfId="28"/>
    <tableColumn id="8" xr3:uid="{3D364083-5AC7-4B4C-BAD2-C10C93463C80}" name="TOTAL A RECIBIR" dataDxfId="27"/>
    <tableColumn id="13" xr3:uid="{183869D9-11EF-4B46-A800-A3D6AD1FC80E}" name="RECIBIDO" dataDxfId="26"/>
    <tableColumn id="9" xr3:uid="{05A567B4-8A84-42BF-A2EC-0235ED338FEF}" name="FECHA DE PRÉSTAMO" dataDxfId="25"/>
    <tableColumn id="10" xr3:uid="{99DB33CC-E355-4FE0-880D-6C2B6C08F355}" name="FECHA DE REEMBOLSO" dataDxfId="24"/>
    <tableColumn id="11" xr3:uid="{EFA09024-F829-48B9-AD83-B0F254B68D80}" name="ESTADO DEL PRÉSTAMO" dataDxfId="23"/>
    <tableColumn id="12" xr3:uid="{7DFCA762-9331-484A-B01F-6681A3E51BAE}" name="COLABORADOR" dataDxfId="22"/>
  </tableColumns>
  <tableStyleInfo name="Control de Préstam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ADAF51-3523-4772-A816-11BF8E923751}" name="Tabla_17" displayName="Tabla_17" ref="A4:M14" headerRowDxfId="21" dataDxfId="20" totalsRowDxfId="19">
  <tableColumns count="13">
    <tableColumn id="1" xr3:uid="{4F198B78-9F76-4878-913F-B1CBCB900824}" name="NOMBRE" dataDxfId="18"/>
    <tableColumn id="2" xr3:uid="{CF87E88A-E5ED-4C0E-89C0-39DDFC2978AC}" name="CANTIDAD PRESTADA" dataDxfId="17"/>
    <tableColumn id="3" xr3:uid="{C8CB3E2A-51AE-45AC-9689-4721A3C8C00B}" name="MONEDA" dataDxfId="16"/>
    <tableColumn id="4" xr3:uid="{F5BBA892-D5B9-4CBA-887E-91B824AA6A82}" name="TOTAL INTERÉS" dataDxfId="15"/>
    <tableColumn id="5" xr3:uid="{8DDBEF85-FC37-4A45-ABC1-3EE1BC075188}" name="ADELANTO RECIBIDO" dataDxfId="14"/>
    <tableColumn id="6" xr3:uid="{05074825-8943-4FF8-AAD5-EBFD44DD6682}" name="RESTANTE POR COBRAR" dataDxfId="13"/>
    <tableColumn id="7" xr3:uid="{EF861976-9D6B-451B-B120-E215457FC720}" name="RETRASOS" dataDxfId="12"/>
    <tableColumn id="8" xr3:uid="{917C1A48-6F14-4B11-A071-841B12F7AA23}" name="TOTAL A RECIBIR" dataDxfId="11"/>
    <tableColumn id="13" xr3:uid="{AA1C5F3B-C2A8-4586-A8A2-DB3095886700}" name="RECIBIDO" dataDxfId="10"/>
    <tableColumn id="9" xr3:uid="{691105EA-1B4F-425B-B907-F87BB78B941D}" name="FECHA DE PRÉSTAMO" dataDxfId="9"/>
    <tableColumn id="10" xr3:uid="{46DEF361-CBE2-4C0B-94E2-F6CA1E62903C}" name="FECHA DE REEMBOLSO" dataDxfId="8"/>
    <tableColumn id="11" xr3:uid="{C543701B-C0A5-4116-8D27-B008B81E216F}" name="ESTADO DEL PRÉSTAMO" dataDxfId="7"/>
    <tableColumn id="12" xr3:uid="{3A8871A6-CAAB-44DF-9DDB-99C836D66888}" name="COLABORADOR" dataDxfId="6"/>
  </tableColumns>
  <tableStyleInfo name="Control de Préstam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A4FE3-F6D7-416E-8F17-DC0E53FAC075}" name="Tabla_13" displayName="Tabla_13" ref="A4:L5">
  <tableColumns count="12">
    <tableColumn id="1" xr3:uid="{24730438-3C8F-4341-AD84-FE98AE4FDD23}" name="NOMBRE"/>
    <tableColumn id="2" xr3:uid="{5FE2D7DB-FDE4-4DB5-9803-8A7A86130E39}" name="CANTIDAD PRESTADA" dataDxfId="5"/>
    <tableColumn id="3" xr3:uid="{F54BE7C9-1A2A-41FF-8C53-D70677E8676D}" name="MONEDA"/>
    <tableColumn id="4" xr3:uid="{7AF84434-A79F-486E-9CC9-6E96FAFF5767}" name="TOTAL INTERÉS" dataDxfId="4"/>
    <tableColumn id="5" xr3:uid="{BE5E03CB-C832-4997-82CF-8EC4C593ABE0}" name="ADELANTO RECIBIDO"/>
    <tableColumn id="6" xr3:uid="{8DCA3857-4A54-4400-8854-6852A257749E}" name="RESTANTE POR COBRAR" dataDxfId="3"/>
    <tableColumn id="7" xr3:uid="{F24917A7-7CB3-4B83-BF78-030BA7BCC8D6}" name="RETRASOS"/>
    <tableColumn id="8" xr3:uid="{DA73BCF4-BC9A-477F-9F06-53F144E8790E}" name="TOTAL A RECIBIR"/>
    <tableColumn id="9" xr3:uid="{9DD61BDC-1501-485D-8BD2-04D019BC1B99}" name="FECHA DE PRÉSTAMO"/>
    <tableColumn id="10" xr3:uid="{DA2DBF10-A82A-4261-AF03-8A27E173ABDF}" name="FECHA DE REEMBOLSO"/>
    <tableColumn id="11" xr3:uid="{41D0FEEC-7302-4135-A0FB-8C7643C6F8C1}" name="ESTADO DEL PRÉSTAMO"/>
    <tableColumn id="12" xr3:uid="{14506B7D-53E7-4A1F-96CA-41286DA6EA75}" name="COLABORADOR"/>
  </tableColumns>
  <tableStyleInfo name="Control de Préstam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4AB442-FBE2-4ABB-9DF4-BA8D334CE0F7}" name="Tabla_139" displayName="Tabla_139" ref="A4:L5">
  <tableColumns count="12">
    <tableColumn id="1" xr3:uid="{1B21422C-D645-4B94-A426-75C8B6912669}" name="NOMBRE"/>
    <tableColumn id="2" xr3:uid="{B565FF2F-D7DA-4A9D-8AC1-CEB77F5C2F68}" name="CANTIDAD PRESTADA" dataDxfId="2"/>
    <tableColumn id="3" xr3:uid="{DEF0C3B6-EC64-4A16-AD88-FB79313CC2D9}" name="MONEDA"/>
    <tableColumn id="4" xr3:uid="{BE9B3793-25CC-4443-9AF6-5A6ED97AD549}" name="TOTAL INTERÉS" dataDxfId="1"/>
    <tableColumn id="5" xr3:uid="{6E9D6D73-FBAC-4FFA-A879-104661010104}" name="ADELANTO RECIBIDO"/>
    <tableColumn id="6" xr3:uid="{80FB3E37-BDD3-48B9-A5D6-A5AD6E77BF35}" name="RESTANTE POR COBRAR" dataDxfId="0"/>
    <tableColumn id="7" xr3:uid="{D459A4E1-D908-4FDA-A1B3-6E7CD303D123}" name="RETRASOS"/>
    <tableColumn id="8" xr3:uid="{3AAC9660-0B03-46B3-B164-4EEEF3840879}" name="TOTAL A RECIBIR"/>
    <tableColumn id="9" xr3:uid="{A52C9C3C-BE5E-4ABA-AD93-4D3B1E2C7285}" name="FECHA DE PRÉSTAMO"/>
    <tableColumn id="10" xr3:uid="{85782BE1-C930-4ABA-9C1F-8199923615CC}" name="FECHA DE REEMBOLSO"/>
    <tableColumn id="11" xr3:uid="{900FA83D-E4B5-4D99-A648-4C8943C1EA5E}" name="ESTADO DEL PRÉSTAMO"/>
    <tableColumn id="12" xr3:uid="{8F07B57E-EEE8-4862-A38D-CD513478823E}" name="COLABORADOR"/>
  </tableColumns>
  <tableStyleInfo name="Control de Préstamos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B558-D610-45AF-AE8C-8B17A2E50043}">
  <sheetPr>
    <tabColor rgb="FFFF0000"/>
  </sheetPr>
  <dimension ref="A1:I27"/>
  <sheetViews>
    <sheetView workbookViewId="0">
      <selection activeCell="E25" sqref="E25"/>
    </sheetView>
  </sheetViews>
  <sheetFormatPr defaultRowHeight="15"/>
  <cols>
    <col min="1" max="1" width="10.28515625" customWidth="1"/>
    <col min="2" max="2" width="14.7109375" customWidth="1"/>
    <col min="3" max="3" width="7.85546875" customWidth="1"/>
    <col min="4" max="4" width="4.7109375" customWidth="1"/>
    <col min="5" max="5" width="10.28515625" customWidth="1"/>
    <col min="6" max="6" width="10.7109375" customWidth="1"/>
    <col min="7" max="7" width="8" customWidth="1"/>
    <col min="8" max="8" width="11.42578125" customWidth="1"/>
    <col min="9" max="9" width="12.85546875" customWidth="1"/>
  </cols>
  <sheetData>
    <row r="1" spans="1:9" ht="21" customHeight="1">
      <c r="A1" s="129" t="s">
        <v>0</v>
      </c>
      <c r="B1" s="130"/>
      <c r="C1" s="130"/>
      <c r="D1" s="130"/>
      <c r="E1" s="130"/>
      <c r="F1" s="130"/>
      <c r="G1" s="130"/>
      <c r="H1" s="130"/>
      <c r="I1" s="131"/>
    </row>
    <row r="2" spans="1:9">
      <c r="A2" s="132" t="s">
        <v>1</v>
      </c>
      <c r="B2" s="133"/>
      <c r="C2" s="133"/>
      <c r="D2" s="133"/>
      <c r="E2" s="133"/>
      <c r="F2" s="133"/>
      <c r="G2" s="133"/>
      <c r="H2" s="133"/>
      <c r="I2" s="134"/>
    </row>
    <row r="3" spans="1:9">
      <c r="A3" s="20"/>
      <c r="B3" s="22"/>
      <c r="C3" s="22"/>
      <c r="D3" s="22"/>
      <c r="E3" s="22"/>
      <c r="F3" s="22"/>
      <c r="G3" s="22"/>
      <c r="H3" s="22"/>
      <c r="I3" s="23"/>
    </row>
    <row r="4" spans="1:9">
      <c r="A4" s="56"/>
      <c r="B4" s="143" t="s">
        <v>2</v>
      </c>
      <c r="C4" s="144"/>
      <c r="D4" s="143" t="s">
        <v>3</v>
      </c>
      <c r="E4" s="144"/>
      <c r="F4" s="143" t="s">
        <v>4</v>
      </c>
      <c r="G4" s="144"/>
      <c r="H4" s="143" t="s">
        <v>5</v>
      </c>
      <c r="I4" s="145"/>
    </row>
    <row r="5" spans="1:9">
      <c r="A5" s="21"/>
      <c r="B5" s="135">
        <f>SUMIFS(DANIELA!B:B,DANIELA!A:A,"&lt;&gt;",DANIELA!A:A,"&lt;&gt;NOMBRE",DANIELA!A:A,"&lt;&gt;Resumen") + SUMIFS(FREILINYER!B:B,FREILINYER!A:A,"&lt;&gt;",FREILINYER!A:A,"&lt;&gt;NOMBRE",FREILINYER!A:A,"&lt;&gt;Resumen")</f>
        <v>1524</v>
      </c>
      <c r="C5" s="136"/>
      <c r="D5" s="139">
        <f>(SUM(FREILINYER!D:D) + SUM(DANIELA!D:D)) / 2</f>
        <v>703.5</v>
      </c>
      <c r="E5" s="136"/>
      <c r="F5" s="139">
        <f>(SUM(FREILINYER!F:F) + SUM(DANIELA!F:F)) / 2</f>
        <v>0</v>
      </c>
      <c r="G5" s="136"/>
      <c r="H5" s="139">
        <f>SUMIFS(DANIELA!H:H,DANIELA!A:A,"&lt;&gt;",DANIELA!A:A,"&lt;&gt;NOMBRE",DANIELA!A:A,"&lt;&gt;Resumen") + SUMIFS(FREILINYER!H:H,FREILINYER!A:A,"&lt;&gt;",FREILINYER!A:A,"&lt;&gt;NOMBRE",FREILINYER!A:A,"&lt;&gt;Resumen")</f>
        <v>2150</v>
      </c>
      <c r="I5" s="141"/>
    </row>
    <row r="6" spans="1:9">
      <c r="A6" s="21"/>
      <c r="B6" s="137"/>
      <c r="C6" s="138"/>
      <c r="D6" s="140"/>
      <c r="E6" s="138"/>
      <c r="F6" s="140"/>
      <c r="G6" s="138"/>
      <c r="H6" s="140"/>
      <c r="I6" s="142"/>
    </row>
    <row r="7" spans="1:9">
      <c r="A7" s="20"/>
      <c r="B7" s="13"/>
      <c r="C7" s="13"/>
      <c r="D7" s="22"/>
      <c r="E7" s="13"/>
      <c r="F7" s="13"/>
      <c r="G7" s="22"/>
      <c r="H7" s="13"/>
      <c r="I7" s="19"/>
    </row>
    <row r="8" spans="1:9" ht="17.25" customHeight="1">
      <c r="A8" s="21"/>
      <c r="B8" s="16" t="s">
        <v>6</v>
      </c>
      <c r="C8" s="49">
        <f>COUNTA(DANIELA!A:A)-4 + COUNTA(FREILINYER!A:A)-4</f>
        <v>15</v>
      </c>
      <c r="D8" s="15"/>
      <c r="E8" s="16" t="s">
        <v>7</v>
      </c>
      <c r="F8" s="125">
        <f>SUMIFS(DANIELA!G:G,DANIELA!A:A,"&lt;&gt;",DANIELA!A:A,"&lt;&gt;NOMBRE",DANIELA!A:A,"&lt;&gt;Resumen") + SUMIFS(FREILINYER!G:G,FREILINYER!A:A,"&lt;&gt;",FREILINYER!A:A,"&lt;&gt;NOMBRE",FREILINYER!A:A,"&lt;&gt;Resumen")</f>
        <v>179</v>
      </c>
      <c r="G8" s="15"/>
      <c r="H8" s="16" t="s">
        <v>8</v>
      </c>
      <c r="I8" s="50" t="s">
        <v>9</v>
      </c>
    </row>
    <row r="9" spans="1:9">
      <c r="A9" s="18"/>
      <c r="B9" s="13"/>
      <c r="C9" s="13"/>
      <c r="D9" s="13"/>
      <c r="E9" s="13"/>
      <c r="F9" s="13"/>
      <c r="G9" s="13"/>
      <c r="H9" s="13"/>
      <c r="I9" s="19"/>
    </row>
    <row r="10" spans="1:9">
      <c r="A10" s="18"/>
      <c r="B10" s="13"/>
      <c r="C10" s="22"/>
      <c r="D10" s="22"/>
      <c r="E10" s="22"/>
      <c r="F10" s="22"/>
      <c r="G10" s="22"/>
      <c r="H10" s="22"/>
      <c r="I10" s="23"/>
    </row>
    <row r="11" spans="1:9">
      <c r="A11" s="24" t="s">
        <v>10</v>
      </c>
      <c r="B11" s="17" t="s">
        <v>11</v>
      </c>
      <c r="C11" s="22"/>
      <c r="D11" s="22"/>
      <c r="E11" s="22"/>
      <c r="F11" s="22"/>
      <c r="G11" s="22"/>
      <c r="H11" s="22"/>
      <c r="I11" s="23"/>
    </row>
    <row r="12" spans="1:9">
      <c r="A12" s="25" t="s">
        <v>12</v>
      </c>
      <c r="B12" s="49">
        <f>COUNTIF(FREILINYER!L:L, "PENDIENTE") + COUNTIF(DANIELA!K:K, "PENDIENTE")</f>
        <v>13</v>
      </c>
      <c r="C12" s="22"/>
      <c r="D12" s="22"/>
      <c r="E12" s="22"/>
      <c r="F12" s="22"/>
      <c r="G12" s="22"/>
      <c r="H12" s="22"/>
      <c r="I12" s="23"/>
    </row>
    <row r="13" spans="1:9">
      <c r="A13" s="26" t="s">
        <v>13</v>
      </c>
      <c r="B13" s="27">
        <f>SUMIFS(DANIELA!G:G,DANIELA!A:A,"&lt;&gt;",DANIELA!A:A,"&lt;&gt;NOMBRE",DANIELA!A:A,"&lt;&gt;Resumen")+SUMIFS(FREILINYER!G:G,FREILINYER!A:A,"&lt;&gt;",FREILINYER!A:A,"&lt;&gt;NOMBRE",FREILINYER!A:A,"&lt;&gt;Resumen")</f>
        <v>179</v>
      </c>
      <c r="C13" s="28"/>
      <c r="D13" s="28"/>
      <c r="E13" s="28"/>
      <c r="F13" s="28"/>
      <c r="G13" s="28"/>
      <c r="H13" s="28"/>
      <c r="I13" s="29"/>
    </row>
    <row r="14" spans="1:9">
      <c r="A14" s="14"/>
      <c r="B14" s="14"/>
      <c r="C14" s="14"/>
      <c r="D14" s="14"/>
      <c r="E14" s="14"/>
      <c r="F14" s="14"/>
      <c r="G14" s="14"/>
      <c r="H14" s="14"/>
      <c r="I14" s="14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4"/>
      <c r="B18" s="14"/>
      <c r="C18" s="14"/>
      <c r="D18" s="14"/>
      <c r="E18" s="14"/>
      <c r="F18" s="14"/>
      <c r="G18" s="14"/>
      <c r="H18" s="14"/>
      <c r="I18" s="14"/>
    </row>
    <row r="19" spans="1:9">
      <c r="A19" s="14"/>
      <c r="B19" s="14"/>
      <c r="C19" s="14"/>
      <c r="D19" s="14"/>
      <c r="E19" s="14"/>
      <c r="F19" s="14"/>
      <c r="G19" s="14"/>
      <c r="H19" s="14"/>
      <c r="I19" s="14"/>
    </row>
    <row r="20" spans="1:9">
      <c r="A20" s="14"/>
      <c r="B20" s="14"/>
      <c r="C20" s="14"/>
      <c r="D20" s="14"/>
      <c r="E20" s="14"/>
      <c r="F20" s="14"/>
      <c r="G20" s="14"/>
      <c r="H20" s="14"/>
      <c r="I20" s="14"/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</sheetData>
  <mergeCells count="10">
    <mergeCell ref="A1:I1"/>
    <mergeCell ref="A2:I2"/>
    <mergeCell ref="B5:C6"/>
    <mergeCell ref="D5:E6"/>
    <mergeCell ref="F5:G6"/>
    <mergeCell ref="H5:I6"/>
    <mergeCell ref="B4:C4"/>
    <mergeCell ref="D4:E4"/>
    <mergeCell ref="F4:G4"/>
    <mergeCell ref="H4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4601-A58E-4DB7-9019-A3C1A4387535}">
  <sheetPr>
    <tabColor rgb="FFFF0000"/>
  </sheetPr>
  <dimension ref="A1:F12"/>
  <sheetViews>
    <sheetView workbookViewId="0">
      <selection activeCell="C14" sqref="C14"/>
    </sheetView>
  </sheetViews>
  <sheetFormatPr defaultRowHeight="15"/>
  <cols>
    <col min="1" max="1" width="9" customWidth="1"/>
    <col min="2" max="2" width="9.85546875" customWidth="1"/>
    <col min="3" max="3" width="14.140625" customWidth="1"/>
    <col min="4" max="4" width="15.140625" customWidth="1"/>
    <col min="5" max="5" width="16.42578125" customWidth="1"/>
    <col min="6" max="6" width="26.85546875" customWidth="1"/>
  </cols>
  <sheetData>
    <row r="1" spans="1:6" ht="21">
      <c r="A1" s="146" t="s">
        <v>14</v>
      </c>
      <c r="B1" s="147"/>
      <c r="C1" s="147"/>
      <c r="D1" s="147"/>
      <c r="E1" s="147"/>
      <c r="F1" s="147"/>
    </row>
    <row r="2" spans="1:6">
      <c r="A2" s="148" t="s">
        <v>15</v>
      </c>
      <c r="B2" s="147"/>
      <c r="C2" s="147"/>
      <c r="D2" s="147"/>
      <c r="E2" s="147"/>
      <c r="F2" s="147"/>
    </row>
    <row r="4" spans="1:6" ht="27.75">
      <c r="A4" s="65" t="s">
        <v>16</v>
      </c>
      <c r="B4" s="65" t="s">
        <v>17</v>
      </c>
      <c r="C4" s="65" t="s">
        <v>18</v>
      </c>
      <c r="D4" s="65" t="s">
        <v>5</v>
      </c>
      <c r="E4" s="65" t="s">
        <v>7</v>
      </c>
      <c r="F4" s="65" t="s">
        <v>19</v>
      </c>
    </row>
    <row r="5" spans="1:6" ht="17.25" customHeight="1">
      <c r="A5" s="66" t="s">
        <v>20</v>
      </c>
      <c r="B5" s="6">
        <f>COUNTA(DANIELA!A:A)-4</f>
        <v>1</v>
      </c>
      <c r="C5" s="67">
        <f>SUMIFS(DANIELA!B:B,DANIELA!A:A,"&lt;&gt;",DANIELA!A:A,"&lt;&gt;NOMBRE",DANIELA!A:A,"&lt;&gt;Resumen")</f>
        <v>10</v>
      </c>
      <c r="D5" s="67">
        <f>SUMIFS(DANIELA!H:H,DANIELA!A:A,"&lt;&gt;",DANIELA!A:A,"&lt;&gt;NOMBRE",DANIELA!A:A,"&lt;&gt;Resumen")</f>
        <v>15</v>
      </c>
      <c r="E5" s="6">
        <f>SUMIFS(DANIELA!G:G,DANIELA!A:A,"&lt;&gt;",DANIELA!A:A,"&lt;&gt;NOMBRE",DANIELA!A:A,"&lt;&gt;Resumen")</f>
        <v>0</v>
      </c>
      <c r="F5" s="67">
        <f>IFERROR(B5,0)</f>
        <v>1</v>
      </c>
    </row>
    <row r="6" spans="1:6">
      <c r="A6" s="68" t="s">
        <v>21</v>
      </c>
      <c r="B6" s="9">
        <f>COUNTA(FREILINYER!A:A)-4</f>
        <v>14</v>
      </c>
      <c r="C6" s="69">
        <f>SUMIFS(FREILINYER!B:B,FREILINYER!A:A,"&lt;&gt;",FREILINYER!A:A,"&lt;&gt;NOMBRE",FREILINYER!A:A,"&lt;&gt;Resumen")</f>
        <v>1514</v>
      </c>
      <c r="D6" s="69">
        <f>SUMIFS(FREILINYER!H:H,FREILINYER!A:A,"&lt;&gt;",FREILINYER!A:A,"&lt;&gt;NOMBRE",FREILINYER!A:A,"&lt;&gt;Resumen")</f>
        <v>2135</v>
      </c>
      <c r="E6" s="9">
        <f>SUMIFS(FREILINYER!G:G,FREILINYER!A:A,"&lt;&gt;",FREILINYER!A:A,"&lt;&gt;NOMBRE",FREILINYER!A:A,"&lt;&gt;Resumen")</f>
        <v>179</v>
      </c>
      <c r="F6" s="69">
        <f>IFERROR(B6,0)</f>
        <v>14</v>
      </c>
    </row>
    <row r="11" spans="1:6">
      <c r="A11" s="11"/>
      <c r="B11" s="3"/>
      <c r="C11" s="12"/>
      <c r="D11" s="12"/>
      <c r="E11" s="3"/>
      <c r="F11" s="12"/>
    </row>
    <row r="12" spans="1:6">
      <c r="C12" s="48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26"/>
  <sheetViews>
    <sheetView tabSelected="1" workbookViewId="0">
      <selection activeCell="D18" sqref="D18"/>
    </sheetView>
  </sheetViews>
  <sheetFormatPr defaultColWidth="8.5703125" defaultRowHeight="14.25" customHeight="1"/>
  <cols>
    <col min="1" max="1" width="14.28515625" style="58" customWidth="1"/>
    <col min="2" max="2" width="21.5703125" style="59" customWidth="1"/>
    <col min="3" max="3" width="16" style="58" customWidth="1"/>
    <col min="4" max="4" width="17.5703125" style="59" customWidth="1"/>
    <col min="5" max="5" width="19.140625" style="59" customWidth="1"/>
    <col min="6" max="6" width="22.5703125" style="58" customWidth="1"/>
    <col min="7" max="7" width="18.85546875" style="59" customWidth="1"/>
    <col min="8" max="9" width="21" style="59" customWidth="1"/>
    <col min="10" max="10" width="21" style="58" customWidth="1"/>
    <col min="11" max="11" width="21.7109375" style="58" customWidth="1"/>
    <col min="12" max="12" width="22.28515625" style="58" customWidth="1"/>
    <col min="13" max="13" width="21" style="58" customWidth="1"/>
    <col min="14" max="14" width="25.7109375" style="58" customWidth="1"/>
    <col min="15" max="15" width="18.7109375" style="58" customWidth="1"/>
    <col min="16" max="16384" width="8.5703125" style="58"/>
  </cols>
  <sheetData>
    <row r="1" spans="1:14" ht="14.25" customHeight="1">
      <c r="A1" s="126" t="s">
        <v>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4" ht="14.25" customHeight="1">
      <c r="A2" s="128" t="s">
        <v>23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4" ht="14.25" customHeight="1">
      <c r="A3" s="154"/>
      <c r="B3" s="155"/>
      <c r="C3" s="154"/>
      <c r="D3" s="155"/>
      <c r="E3" s="155"/>
      <c r="F3" s="154"/>
      <c r="G3" s="155"/>
      <c r="H3" s="155"/>
      <c r="I3" s="155"/>
      <c r="J3" s="154"/>
      <c r="K3" s="154"/>
      <c r="L3" s="154"/>
      <c r="M3" s="154"/>
    </row>
    <row r="4" spans="1:14" ht="14.25" customHeight="1">
      <c r="A4" s="97" t="s">
        <v>24</v>
      </c>
      <c r="B4" s="98" t="s">
        <v>25</v>
      </c>
      <c r="C4" s="99" t="s">
        <v>26</v>
      </c>
      <c r="D4" s="98" t="s">
        <v>27</v>
      </c>
      <c r="E4" s="100" t="s">
        <v>28</v>
      </c>
      <c r="F4" s="97" t="s">
        <v>29</v>
      </c>
      <c r="G4" s="98" t="s">
        <v>30</v>
      </c>
      <c r="H4" s="98" t="s">
        <v>31</v>
      </c>
      <c r="I4" s="98" t="s">
        <v>32</v>
      </c>
      <c r="J4" s="97" t="s">
        <v>33</v>
      </c>
      <c r="K4" s="97" t="s">
        <v>34</v>
      </c>
      <c r="L4" s="97" t="s">
        <v>35</v>
      </c>
      <c r="M4" s="97" t="s">
        <v>36</v>
      </c>
      <c r="N4" s="101"/>
    </row>
    <row r="5" spans="1:14" s="101" customFormat="1" ht="14.25" customHeight="1">
      <c r="A5" s="102" t="s">
        <v>37</v>
      </c>
      <c r="B5" s="103">
        <v>100</v>
      </c>
      <c r="C5" s="104" t="s">
        <v>9</v>
      </c>
      <c r="D5" s="156">
        <v>50</v>
      </c>
      <c r="E5" s="105"/>
      <c r="F5" s="103"/>
      <c r="G5" s="106"/>
      <c r="H5" s="107">
        <v>150</v>
      </c>
      <c r="I5" s="107"/>
      <c r="J5" s="111">
        <v>46096</v>
      </c>
      <c r="K5" s="108" t="s">
        <v>38</v>
      </c>
      <c r="L5" s="108" t="s">
        <v>12</v>
      </c>
      <c r="M5" s="109"/>
    </row>
    <row r="6" spans="1:14" ht="14.25" customHeight="1">
      <c r="A6" s="102" t="s">
        <v>39</v>
      </c>
      <c r="B6" s="103">
        <v>60</v>
      </c>
      <c r="C6" s="104" t="s">
        <v>9</v>
      </c>
      <c r="D6" s="156">
        <v>30</v>
      </c>
      <c r="E6" s="105"/>
      <c r="F6" s="103"/>
      <c r="G6" s="106"/>
      <c r="H6" s="107">
        <v>90</v>
      </c>
      <c r="I6" s="107"/>
      <c r="J6" s="111">
        <v>46096</v>
      </c>
      <c r="K6" s="110">
        <v>46057</v>
      </c>
      <c r="L6" s="108" t="s">
        <v>12</v>
      </c>
      <c r="M6" s="109"/>
      <c r="N6" s="101"/>
    </row>
    <row r="7" spans="1:14" ht="14.25" customHeight="1">
      <c r="A7" s="102" t="s">
        <v>40</v>
      </c>
      <c r="B7" s="103">
        <v>40</v>
      </c>
      <c r="C7" s="104" t="s">
        <v>9</v>
      </c>
      <c r="D7" s="156">
        <v>20</v>
      </c>
      <c r="E7" s="105"/>
      <c r="F7" s="103"/>
      <c r="G7" s="106"/>
      <c r="H7" s="107">
        <v>60</v>
      </c>
      <c r="I7" s="107"/>
      <c r="J7" s="111">
        <v>46096</v>
      </c>
      <c r="K7" s="110">
        <v>46057</v>
      </c>
      <c r="L7" s="108" t="s">
        <v>12</v>
      </c>
      <c r="M7" s="109"/>
      <c r="N7" s="101"/>
    </row>
    <row r="8" spans="1:14" ht="14.25" customHeight="1">
      <c r="A8" s="102" t="s">
        <v>41</v>
      </c>
      <c r="B8" s="103">
        <v>100</v>
      </c>
      <c r="C8" s="104" t="s">
        <v>9</v>
      </c>
      <c r="D8" s="156">
        <v>50</v>
      </c>
      <c r="E8" s="105"/>
      <c r="F8" s="103"/>
      <c r="G8" s="106"/>
      <c r="H8" s="107">
        <v>150</v>
      </c>
      <c r="I8" s="107"/>
      <c r="J8" s="108" t="s">
        <v>42</v>
      </c>
      <c r="K8" s="108" t="s">
        <v>43</v>
      </c>
      <c r="L8" s="108" t="s">
        <v>44</v>
      </c>
      <c r="M8" s="109"/>
      <c r="N8" s="101"/>
    </row>
    <row r="9" spans="1:14" ht="14.25" customHeight="1">
      <c r="A9" s="102" t="s">
        <v>45</v>
      </c>
      <c r="B9" s="103">
        <v>50</v>
      </c>
      <c r="C9" s="104" t="s">
        <v>9</v>
      </c>
      <c r="D9" s="156">
        <v>10</v>
      </c>
      <c r="E9" s="105"/>
      <c r="F9" s="103"/>
      <c r="G9" s="106"/>
      <c r="H9" s="107">
        <v>60</v>
      </c>
      <c r="I9" s="107"/>
      <c r="J9" s="111" t="s">
        <v>42</v>
      </c>
      <c r="K9" s="108" t="s">
        <v>46</v>
      </c>
      <c r="L9" s="108" t="s">
        <v>12</v>
      </c>
      <c r="M9" s="109"/>
      <c r="N9" s="101"/>
    </row>
    <row r="10" spans="1:14" ht="14.25" customHeight="1">
      <c r="A10" s="102" t="s">
        <v>47</v>
      </c>
      <c r="B10" s="113" t="s">
        <v>48</v>
      </c>
      <c r="C10" s="104" t="s">
        <v>9</v>
      </c>
      <c r="D10" s="156">
        <v>45</v>
      </c>
      <c r="E10" s="105"/>
      <c r="F10" s="103"/>
      <c r="G10" s="106"/>
      <c r="H10" s="107">
        <v>135</v>
      </c>
      <c r="I10" s="107"/>
      <c r="J10" s="108" t="s">
        <v>49</v>
      </c>
      <c r="K10" s="108" t="s">
        <v>38</v>
      </c>
      <c r="L10" s="108" t="s">
        <v>12</v>
      </c>
      <c r="M10" s="109"/>
      <c r="N10" s="101"/>
    </row>
    <row r="11" spans="1:14" ht="14.25" customHeight="1">
      <c r="A11" s="102" t="s">
        <v>50</v>
      </c>
      <c r="B11" s="103">
        <v>80</v>
      </c>
      <c r="C11" s="104" t="s">
        <v>9</v>
      </c>
      <c r="D11" s="156">
        <v>40</v>
      </c>
      <c r="E11" s="105"/>
      <c r="F11" s="103"/>
      <c r="G11" s="106"/>
      <c r="H11" s="107">
        <v>120</v>
      </c>
      <c r="I11" s="107"/>
      <c r="J11" s="111">
        <v>46099</v>
      </c>
      <c r="K11" s="111">
        <v>46112</v>
      </c>
      <c r="L11" s="108" t="s">
        <v>12</v>
      </c>
      <c r="M11" s="109"/>
      <c r="N11" s="101"/>
    </row>
    <row r="12" spans="1:14" ht="14.25" customHeight="1">
      <c r="A12" s="102" t="s">
        <v>51</v>
      </c>
      <c r="B12" s="103">
        <v>100</v>
      </c>
      <c r="C12" s="104" t="s">
        <v>9</v>
      </c>
      <c r="D12" s="156">
        <v>40</v>
      </c>
      <c r="E12" s="105"/>
      <c r="F12" s="103"/>
      <c r="G12" s="106"/>
      <c r="H12" s="107">
        <v>40</v>
      </c>
      <c r="I12" s="107"/>
      <c r="J12" s="110">
        <v>46099</v>
      </c>
      <c r="K12" s="110">
        <v>46112</v>
      </c>
      <c r="L12" s="108" t="s">
        <v>12</v>
      </c>
      <c r="M12" s="109"/>
      <c r="N12" s="101"/>
    </row>
    <row r="13" spans="1:14" ht="14.25" customHeight="1">
      <c r="A13" s="102" t="s">
        <v>52</v>
      </c>
      <c r="B13" s="103">
        <v>75</v>
      </c>
      <c r="C13" s="104" t="s">
        <v>9</v>
      </c>
      <c r="D13" s="156">
        <v>51</v>
      </c>
      <c r="E13" s="105">
        <v>0</v>
      </c>
      <c r="F13" s="103"/>
      <c r="G13" s="106"/>
      <c r="H13" s="107">
        <v>126</v>
      </c>
      <c r="I13" s="107"/>
      <c r="J13" s="110">
        <v>46099</v>
      </c>
      <c r="K13" s="110">
        <v>46112</v>
      </c>
      <c r="L13" s="108" t="s">
        <v>12</v>
      </c>
      <c r="M13" s="109"/>
      <c r="N13" s="101"/>
    </row>
    <row r="14" spans="1:14" ht="14.25" customHeight="1">
      <c r="A14" s="114" t="s">
        <v>53</v>
      </c>
      <c r="B14" s="115">
        <v>500</v>
      </c>
      <c r="C14" s="116" t="s">
        <v>9</v>
      </c>
      <c r="D14" s="117">
        <v>200</v>
      </c>
      <c r="E14" s="118">
        <v>0</v>
      </c>
      <c r="F14" s="115"/>
      <c r="G14" s="119"/>
      <c r="H14" s="120">
        <v>700</v>
      </c>
      <c r="I14" s="120"/>
      <c r="J14" s="123">
        <v>46078</v>
      </c>
      <c r="K14" s="121" t="s">
        <v>54</v>
      </c>
      <c r="L14" s="121" t="s">
        <v>12</v>
      </c>
      <c r="M14" s="122"/>
      <c r="N14" s="101"/>
    </row>
    <row r="15" spans="1:14" ht="14.25" customHeight="1">
      <c r="A15" s="102" t="s">
        <v>55</v>
      </c>
      <c r="B15" s="103">
        <v>100</v>
      </c>
      <c r="C15" s="104" t="s">
        <v>9</v>
      </c>
      <c r="D15" s="156">
        <v>50</v>
      </c>
      <c r="E15" s="105"/>
      <c r="F15" s="103"/>
      <c r="G15" s="106"/>
      <c r="H15" s="107">
        <v>150</v>
      </c>
      <c r="I15" s="107"/>
      <c r="J15" s="111" t="s">
        <v>56</v>
      </c>
      <c r="K15" s="111" t="s">
        <v>46</v>
      </c>
      <c r="L15" s="108" t="s">
        <v>44</v>
      </c>
      <c r="M15" s="109"/>
      <c r="N15" s="101"/>
    </row>
    <row r="16" spans="1:14" ht="15">
      <c r="A16" s="157" t="s">
        <v>57</v>
      </c>
      <c r="B16" s="158">
        <v>100</v>
      </c>
      <c r="C16" s="108" t="s">
        <v>9</v>
      </c>
      <c r="D16" s="107">
        <v>75</v>
      </c>
      <c r="E16" s="158"/>
      <c r="F16" s="158"/>
      <c r="G16" s="159"/>
      <c r="H16" s="124">
        <v>175</v>
      </c>
      <c r="I16" s="124"/>
      <c r="J16" s="160">
        <v>46052</v>
      </c>
      <c r="K16" s="110">
        <v>46081</v>
      </c>
      <c r="L16" s="108" t="s">
        <v>12</v>
      </c>
      <c r="M16" s="157"/>
    </row>
    <row r="17" spans="1:14" ht="14.25" customHeight="1">
      <c r="A17" s="102"/>
      <c r="B17" s="103"/>
      <c r="C17" s="104"/>
      <c r="D17" s="156"/>
      <c r="E17" s="105"/>
      <c r="F17" s="103"/>
      <c r="G17" s="106"/>
      <c r="H17" s="107"/>
      <c r="I17" s="107"/>
      <c r="J17" s="111"/>
      <c r="K17" s="111"/>
      <c r="L17" s="108"/>
      <c r="M17" s="109"/>
      <c r="N17" s="101"/>
    </row>
    <row r="18" spans="1:14" ht="14.25" customHeight="1">
      <c r="A18" s="102"/>
      <c r="B18" s="103"/>
      <c r="C18" s="104"/>
      <c r="D18" s="156"/>
      <c r="E18" s="105"/>
      <c r="F18" s="103"/>
      <c r="G18" s="106"/>
      <c r="H18" s="107"/>
      <c r="I18" s="107"/>
      <c r="J18" s="111"/>
      <c r="K18" s="111"/>
      <c r="L18" s="108"/>
      <c r="M18" s="109"/>
      <c r="N18" s="101"/>
    </row>
    <row r="19" spans="1:14" ht="14.25" customHeight="1">
      <c r="A19" s="102"/>
      <c r="B19" s="103"/>
      <c r="C19" s="104"/>
      <c r="D19" s="156"/>
      <c r="E19" s="105"/>
      <c r="F19" s="103"/>
      <c r="G19" s="106"/>
      <c r="H19" s="107"/>
      <c r="I19" s="107"/>
      <c r="J19" s="111"/>
      <c r="K19" s="110"/>
      <c r="L19" s="108"/>
      <c r="M19" s="109"/>
      <c r="N19" s="101"/>
    </row>
    <row r="20" spans="1:14" ht="14.25" customHeight="1">
      <c r="A20" s="154"/>
      <c r="B20" s="155"/>
      <c r="C20" s="154"/>
      <c r="D20" s="155"/>
      <c r="E20" s="155"/>
      <c r="F20" s="155"/>
      <c r="G20" s="155"/>
      <c r="H20" s="155"/>
      <c r="I20" s="155"/>
      <c r="J20" s="154"/>
      <c r="K20" s="154"/>
      <c r="L20" s="154"/>
      <c r="M20" s="161"/>
    </row>
    <row r="21" spans="1:14" ht="14.25" customHeight="1">
      <c r="A21" s="162" t="s">
        <v>58</v>
      </c>
      <c r="B21" s="163">
        <v>59</v>
      </c>
      <c r="C21" s="162" t="s">
        <v>59</v>
      </c>
      <c r="D21" s="163">
        <v>0</v>
      </c>
      <c r="E21" s="163"/>
      <c r="F21" s="163"/>
      <c r="G21" s="163">
        <v>59</v>
      </c>
      <c r="H21" s="163">
        <v>59</v>
      </c>
      <c r="I21" s="163"/>
      <c r="J21" s="162"/>
      <c r="K21" s="162"/>
      <c r="L21" s="162" t="s">
        <v>12</v>
      </c>
      <c r="M21" s="157"/>
    </row>
    <row r="22" spans="1:14" ht="14.25" customHeight="1">
      <c r="A22" s="162" t="s">
        <v>60</v>
      </c>
      <c r="B22" s="163">
        <v>150</v>
      </c>
      <c r="C22" s="70" t="s">
        <v>9</v>
      </c>
      <c r="D22" s="71">
        <v>75</v>
      </c>
      <c r="E22" s="163"/>
      <c r="F22" s="163"/>
      <c r="G22" s="163">
        <v>120</v>
      </c>
      <c r="H22" s="71">
        <v>120</v>
      </c>
      <c r="I22" s="71"/>
      <c r="J22" s="72">
        <v>46049</v>
      </c>
      <c r="K22" s="72">
        <v>46068</v>
      </c>
      <c r="L22" s="70" t="s">
        <v>12</v>
      </c>
      <c r="M22" s="157"/>
    </row>
    <row r="23" spans="1:14" ht="14.25" customHeight="1">
      <c r="A23" s="164"/>
      <c r="B23" s="165"/>
      <c r="C23" s="164"/>
      <c r="D23" s="165"/>
      <c r="E23" s="165"/>
      <c r="F23" s="166"/>
      <c r="G23" s="73" t="s">
        <v>61</v>
      </c>
      <c r="H23" s="74">
        <f>SUM(H21:H22)</f>
        <v>179</v>
      </c>
      <c r="I23" s="79"/>
      <c r="J23" s="167"/>
      <c r="K23" s="164"/>
      <c r="L23" s="164"/>
      <c r="M23" s="164"/>
    </row>
    <row r="24" spans="1:14" ht="14.25" customHeight="1">
      <c r="A24" s="154"/>
      <c r="B24" s="155"/>
      <c r="C24" s="154"/>
      <c r="D24" s="155"/>
      <c r="E24" s="155"/>
      <c r="F24" s="155"/>
      <c r="G24" s="75"/>
      <c r="H24" s="75"/>
      <c r="I24" s="80"/>
      <c r="J24" s="154"/>
      <c r="K24" s="154"/>
      <c r="L24" s="154"/>
      <c r="M24" s="154"/>
    </row>
    <row r="25" spans="1:14" ht="14.25" customHeight="1">
      <c r="A25" s="61" t="s">
        <v>62</v>
      </c>
      <c r="B25" s="62">
        <f>SUM(B5:B20)</f>
        <v>1305</v>
      </c>
      <c r="C25" s="61"/>
      <c r="D25" s="63">
        <f>SUM(D5:D20)</f>
        <v>661</v>
      </c>
      <c r="E25" s="64">
        <f>SUM(E5:E24)</f>
        <v>0</v>
      </c>
      <c r="F25" s="77">
        <f>SUM(F5:F24)</f>
        <v>0</v>
      </c>
      <c r="G25" s="64">
        <f>SUM(G5:G24)</f>
        <v>179</v>
      </c>
      <c r="H25" s="112">
        <f>SUM(H5:H20)</f>
        <v>1956</v>
      </c>
      <c r="I25" s="81"/>
      <c r="J25" s="78"/>
      <c r="K25" s="61"/>
      <c r="L25" s="61"/>
      <c r="M25" s="64">
        <f>SUM(M4:M24)</f>
        <v>0</v>
      </c>
    </row>
    <row r="26" spans="1:14" ht="14.25" customHeight="1">
      <c r="A26" s="154"/>
      <c r="B26" s="155"/>
      <c r="C26" s="154"/>
      <c r="D26" s="155"/>
      <c r="E26" s="155"/>
      <c r="F26" s="154"/>
      <c r="G26" s="76" t="s">
        <v>63</v>
      </c>
      <c r="H26" s="74">
        <f>SUM(H23:H25)</f>
        <v>2135</v>
      </c>
      <c r="I26" s="82">
        <f>SUM(I5:I22)</f>
        <v>0</v>
      </c>
      <c r="J26" s="154"/>
      <c r="K26" s="154"/>
      <c r="L26" s="154"/>
      <c r="M26" s="154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03F0-2660-455C-92D9-C279CA324509}">
  <sheetPr>
    <tabColor rgb="FF7030A0"/>
  </sheetPr>
  <dimension ref="A1:M22"/>
  <sheetViews>
    <sheetView workbookViewId="0">
      <selection activeCell="M6" sqref="A6:M6"/>
    </sheetView>
  </sheetViews>
  <sheetFormatPr defaultColWidth="8.5703125" defaultRowHeight="14.25" customHeight="1"/>
  <cols>
    <col min="1" max="1" width="14.28515625" style="58" customWidth="1"/>
    <col min="2" max="2" width="21.5703125" style="59" customWidth="1"/>
    <col min="3" max="3" width="16" style="58" customWidth="1"/>
    <col min="4" max="4" width="17.5703125" style="59" customWidth="1"/>
    <col min="5" max="5" width="19.140625" style="59" customWidth="1"/>
    <col min="6" max="6" width="22.5703125" style="58" customWidth="1"/>
    <col min="7" max="7" width="18.85546875" style="59" customWidth="1"/>
    <col min="8" max="9" width="21" style="59" customWidth="1"/>
    <col min="10" max="10" width="21" style="58" customWidth="1"/>
    <col min="11" max="11" width="21.7109375" style="58" customWidth="1"/>
    <col min="12" max="12" width="22.28515625" style="58" customWidth="1"/>
    <col min="13" max="13" width="21" style="58" customWidth="1"/>
    <col min="14" max="14" width="25.7109375" style="58" customWidth="1"/>
    <col min="15" max="15" width="18.7109375" style="58" customWidth="1"/>
    <col min="16" max="16384" width="8.5703125" style="58"/>
  </cols>
  <sheetData>
    <row r="1" spans="1:13" ht="14.25" customHeight="1">
      <c r="A1" s="126" t="s">
        <v>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4.25" customHeight="1">
      <c r="A2" s="128" t="s">
        <v>23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ht="14.25" customHeight="1">
      <c r="A3" s="154"/>
      <c r="B3" s="155"/>
      <c r="C3" s="154"/>
      <c r="D3" s="155"/>
      <c r="E3" s="155"/>
      <c r="F3" s="154"/>
      <c r="G3" s="155"/>
      <c r="H3" s="155"/>
      <c r="I3" s="155"/>
      <c r="J3" s="154"/>
      <c r="K3" s="154"/>
      <c r="L3" s="154"/>
      <c r="M3" s="154"/>
    </row>
    <row r="4" spans="1:13" ht="14.25" customHeight="1">
      <c r="A4" s="4" t="s">
        <v>24</v>
      </c>
      <c r="B4" s="57" t="s">
        <v>25</v>
      </c>
      <c r="C4" s="36" t="s">
        <v>26</v>
      </c>
      <c r="D4" s="57" t="s">
        <v>27</v>
      </c>
      <c r="E4" s="60" t="s">
        <v>28</v>
      </c>
      <c r="F4" s="4" t="s">
        <v>29</v>
      </c>
      <c r="G4" s="57" t="s">
        <v>30</v>
      </c>
      <c r="H4" s="57" t="s">
        <v>31</v>
      </c>
      <c r="I4" s="57" t="s">
        <v>32</v>
      </c>
      <c r="J4" s="4" t="s">
        <v>33</v>
      </c>
      <c r="K4" s="4" t="s">
        <v>34</v>
      </c>
      <c r="L4" s="4" t="s">
        <v>35</v>
      </c>
      <c r="M4" s="4" t="s">
        <v>36</v>
      </c>
    </row>
    <row r="5" spans="1:13" ht="14.25" customHeight="1">
      <c r="A5" s="87" t="s">
        <v>53</v>
      </c>
      <c r="B5" s="88">
        <v>500</v>
      </c>
      <c r="C5" s="89" t="s">
        <v>9</v>
      </c>
      <c r="D5" s="168">
        <v>200</v>
      </c>
      <c r="E5" s="90">
        <v>0</v>
      </c>
      <c r="F5" s="88"/>
      <c r="G5" s="91"/>
      <c r="H5" s="92">
        <v>700</v>
      </c>
      <c r="I5" s="92"/>
      <c r="J5" s="95" t="s">
        <v>64</v>
      </c>
      <c r="K5" s="95" t="s">
        <v>54</v>
      </c>
      <c r="L5" s="95" t="s">
        <v>12</v>
      </c>
      <c r="M5" s="96"/>
    </row>
    <row r="6" spans="1:13" ht="14.25" customHeight="1">
      <c r="A6" s="87" t="s">
        <v>52</v>
      </c>
      <c r="B6" s="88">
        <v>50</v>
      </c>
      <c r="C6" s="89" t="s">
        <v>9</v>
      </c>
      <c r="D6" s="168">
        <v>25</v>
      </c>
      <c r="E6" s="90">
        <v>0</v>
      </c>
      <c r="F6" s="88"/>
      <c r="G6" s="91"/>
      <c r="H6" s="92">
        <v>75</v>
      </c>
      <c r="I6" s="92"/>
      <c r="J6" s="95" t="s">
        <v>65</v>
      </c>
      <c r="K6" s="95" t="s">
        <v>54</v>
      </c>
      <c r="L6" s="95" t="s">
        <v>12</v>
      </c>
      <c r="M6" s="96"/>
    </row>
    <row r="7" spans="1:13" ht="14.25" customHeight="1">
      <c r="A7" s="87" t="s">
        <v>50</v>
      </c>
      <c r="B7" s="88">
        <v>80</v>
      </c>
      <c r="C7" s="89" t="s">
        <v>9</v>
      </c>
      <c r="D7" s="168">
        <v>40</v>
      </c>
      <c r="E7" s="90">
        <v>0</v>
      </c>
      <c r="F7" s="88"/>
      <c r="G7" s="91"/>
      <c r="H7" s="92">
        <v>120</v>
      </c>
      <c r="I7" s="92"/>
      <c r="J7" s="93">
        <v>46083</v>
      </c>
      <c r="K7" s="93">
        <v>46097</v>
      </c>
      <c r="L7" s="95" t="s">
        <v>12</v>
      </c>
      <c r="M7" s="96"/>
    </row>
    <row r="8" spans="1:13" ht="14.25" customHeight="1">
      <c r="A8" s="87" t="s">
        <v>51</v>
      </c>
      <c r="B8" s="88">
        <v>100</v>
      </c>
      <c r="C8" s="89" t="s">
        <v>9</v>
      </c>
      <c r="D8" s="168">
        <v>40</v>
      </c>
      <c r="E8" s="90">
        <v>90</v>
      </c>
      <c r="F8" s="88">
        <v>40</v>
      </c>
      <c r="G8" s="91"/>
      <c r="H8" s="92">
        <v>40</v>
      </c>
      <c r="I8" s="92"/>
      <c r="J8" s="94">
        <v>46080</v>
      </c>
      <c r="K8" s="94">
        <v>46096</v>
      </c>
      <c r="L8" s="95" t="s">
        <v>12</v>
      </c>
      <c r="M8" s="96"/>
    </row>
    <row r="9" spans="1:13" ht="14.25" customHeight="1">
      <c r="A9" s="87" t="s">
        <v>37</v>
      </c>
      <c r="B9" s="88">
        <v>50</v>
      </c>
      <c r="C9" s="89" t="s">
        <v>9</v>
      </c>
      <c r="D9" s="168">
        <v>25</v>
      </c>
      <c r="E9" s="90">
        <v>0</v>
      </c>
      <c r="F9" s="88"/>
      <c r="G9" s="91"/>
      <c r="H9" s="92">
        <v>75</v>
      </c>
      <c r="I9" s="92"/>
      <c r="J9" s="93">
        <v>46025</v>
      </c>
      <c r="K9" s="95" t="s">
        <v>66</v>
      </c>
      <c r="L9" s="95" t="s">
        <v>12</v>
      </c>
      <c r="M9" s="96"/>
    </row>
    <row r="10" spans="1:13" ht="14.25" customHeight="1">
      <c r="A10" s="87" t="s">
        <v>47</v>
      </c>
      <c r="B10" s="88">
        <v>60</v>
      </c>
      <c r="C10" s="89" t="s">
        <v>9</v>
      </c>
      <c r="D10" s="168">
        <v>30</v>
      </c>
      <c r="E10" s="90">
        <v>0</v>
      </c>
      <c r="F10" s="88"/>
      <c r="G10" s="91"/>
      <c r="H10" s="92">
        <v>90</v>
      </c>
      <c r="I10" s="92"/>
      <c r="J10" s="95" t="s">
        <v>65</v>
      </c>
      <c r="K10" s="95" t="s">
        <v>54</v>
      </c>
      <c r="L10" s="95" t="s">
        <v>12</v>
      </c>
      <c r="M10" s="96"/>
    </row>
    <row r="11" spans="1:13" ht="14.25" customHeight="1">
      <c r="A11" s="87" t="s">
        <v>39</v>
      </c>
      <c r="B11" s="88">
        <v>100</v>
      </c>
      <c r="C11" s="89" t="s">
        <v>9</v>
      </c>
      <c r="D11" s="168">
        <v>50</v>
      </c>
      <c r="E11" s="90">
        <v>90</v>
      </c>
      <c r="F11" s="88">
        <v>60</v>
      </c>
      <c r="G11" s="91"/>
      <c r="H11" s="92">
        <v>60</v>
      </c>
      <c r="I11" s="92"/>
      <c r="J11" s="93">
        <v>46056</v>
      </c>
      <c r="K11" s="95" t="s">
        <v>66</v>
      </c>
      <c r="L11" s="95" t="s">
        <v>12</v>
      </c>
      <c r="M11" s="96"/>
    </row>
    <row r="12" spans="1:13" ht="14.25" customHeight="1">
      <c r="A12" s="87" t="s">
        <v>67</v>
      </c>
      <c r="B12" s="88">
        <v>50</v>
      </c>
      <c r="C12" s="89" t="s">
        <v>9</v>
      </c>
      <c r="D12" s="168">
        <v>25</v>
      </c>
      <c r="E12" s="90">
        <v>0</v>
      </c>
      <c r="F12" s="88"/>
      <c r="G12" s="91"/>
      <c r="H12" s="92">
        <v>75</v>
      </c>
      <c r="I12" s="92"/>
      <c r="J12" s="93">
        <v>46083</v>
      </c>
      <c r="K12" s="95" t="s">
        <v>66</v>
      </c>
      <c r="L12" s="95" t="s">
        <v>12</v>
      </c>
      <c r="M12" s="96"/>
    </row>
    <row r="13" spans="1:13" ht="14.25" customHeight="1">
      <c r="A13" s="87" t="s">
        <v>68</v>
      </c>
      <c r="B13" s="88">
        <v>50</v>
      </c>
      <c r="C13" s="89" t="s">
        <v>9</v>
      </c>
      <c r="D13" s="168">
        <v>25</v>
      </c>
      <c r="E13" s="90">
        <v>0</v>
      </c>
      <c r="F13" s="88"/>
      <c r="G13" s="91"/>
      <c r="H13" s="92">
        <v>75</v>
      </c>
      <c r="I13" s="92"/>
      <c r="J13" s="93">
        <v>46083</v>
      </c>
      <c r="K13" s="95" t="s">
        <v>66</v>
      </c>
      <c r="L13" s="95" t="s">
        <v>12</v>
      </c>
      <c r="M13" s="96"/>
    </row>
    <row r="14" spans="1:13" ht="14.25" customHeight="1">
      <c r="A14" s="87" t="s">
        <v>69</v>
      </c>
      <c r="B14" s="88">
        <v>20</v>
      </c>
      <c r="C14" s="89" t="s">
        <v>9</v>
      </c>
      <c r="D14" s="168">
        <v>10</v>
      </c>
      <c r="E14" s="90">
        <v>0</v>
      </c>
      <c r="F14" s="88"/>
      <c r="G14" s="91"/>
      <c r="H14" s="92">
        <v>30</v>
      </c>
      <c r="I14" s="92"/>
      <c r="J14" s="93">
        <v>46085</v>
      </c>
      <c r="K14" s="94">
        <v>46097</v>
      </c>
      <c r="L14" s="95" t="s">
        <v>12</v>
      </c>
      <c r="M14" s="96"/>
    </row>
    <row r="15" spans="1:13" ht="14.25" customHeight="1">
      <c r="A15" s="154"/>
      <c r="B15" s="155"/>
      <c r="C15" s="154"/>
      <c r="D15" s="155"/>
      <c r="E15" s="155"/>
      <c r="F15" s="155"/>
      <c r="G15" s="155"/>
      <c r="H15" s="155"/>
      <c r="I15" s="155"/>
      <c r="J15" s="154"/>
      <c r="K15" s="154"/>
      <c r="L15" s="154"/>
      <c r="M15" s="154"/>
    </row>
    <row r="16" spans="1:13" ht="14.25" customHeight="1">
      <c r="A16" s="162" t="s">
        <v>58</v>
      </c>
      <c r="B16" s="163">
        <v>59</v>
      </c>
      <c r="C16" s="162" t="s">
        <v>59</v>
      </c>
      <c r="D16" s="163">
        <v>0</v>
      </c>
      <c r="E16" s="163"/>
      <c r="F16" s="163"/>
      <c r="G16" s="163">
        <v>59</v>
      </c>
      <c r="H16" s="163">
        <v>59</v>
      </c>
      <c r="I16" s="163"/>
      <c r="J16" s="162"/>
      <c r="K16" s="162"/>
      <c r="L16" s="162" t="s">
        <v>12</v>
      </c>
      <c r="M16" s="164"/>
    </row>
    <row r="17" spans="1:13" ht="14.25" customHeight="1">
      <c r="A17" s="162" t="s">
        <v>60</v>
      </c>
      <c r="B17" s="163">
        <v>150</v>
      </c>
      <c r="C17" s="70" t="s">
        <v>9</v>
      </c>
      <c r="D17" s="71">
        <v>75</v>
      </c>
      <c r="E17" s="163"/>
      <c r="F17" s="163"/>
      <c r="G17" s="163">
        <v>120</v>
      </c>
      <c r="H17" s="71">
        <v>120</v>
      </c>
      <c r="I17" s="71"/>
      <c r="J17" s="72">
        <v>46049</v>
      </c>
      <c r="K17" s="72">
        <v>46068</v>
      </c>
      <c r="L17" s="70" t="s">
        <v>12</v>
      </c>
      <c r="M17" s="164"/>
    </row>
    <row r="18" spans="1:13" ht="14.25" customHeight="1">
      <c r="A18" s="169" t="s">
        <v>57</v>
      </c>
      <c r="B18" s="170">
        <v>100</v>
      </c>
      <c r="C18" s="84" t="s">
        <v>9</v>
      </c>
      <c r="D18" s="83">
        <v>50</v>
      </c>
      <c r="E18" s="170"/>
      <c r="F18" s="170"/>
      <c r="G18" s="171">
        <v>150</v>
      </c>
      <c r="H18" s="86">
        <v>175</v>
      </c>
      <c r="I18" s="86"/>
      <c r="J18" s="172">
        <v>46052</v>
      </c>
      <c r="K18" s="85">
        <v>46081</v>
      </c>
      <c r="L18" s="84" t="s">
        <v>12</v>
      </c>
      <c r="M18" s="169"/>
    </row>
    <row r="19" spans="1:13" ht="14.25" customHeight="1">
      <c r="A19" s="164"/>
      <c r="B19" s="165"/>
      <c r="C19" s="164"/>
      <c r="D19" s="165"/>
      <c r="E19" s="165"/>
      <c r="F19" s="166"/>
      <c r="G19" s="73" t="s">
        <v>61</v>
      </c>
      <c r="H19" s="74">
        <f>SUM(H16:H18)</f>
        <v>354</v>
      </c>
      <c r="I19" s="79"/>
      <c r="J19" s="167"/>
      <c r="K19" s="164"/>
      <c r="L19" s="164"/>
      <c r="M19" s="164"/>
    </row>
    <row r="20" spans="1:13" ht="14.25" customHeight="1">
      <c r="A20" s="154"/>
      <c r="B20" s="155"/>
      <c r="C20" s="154"/>
      <c r="D20" s="155"/>
      <c r="E20" s="155"/>
      <c r="F20" s="155"/>
      <c r="G20" s="75"/>
      <c r="H20" s="75"/>
      <c r="I20" s="80"/>
      <c r="J20" s="154"/>
      <c r="K20" s="154"/>
      <c r="L20" s="154"/>
      <c r="M20" s="154"/>
    </row>
    <row r="21" spans="1:13" ht="14.25" customHeight="1">
      <c r="A21" s="61" t="s">
        <v>62</v>
      </c>
      <c r="B21" s="62">
        <f>SUM(B5:B20)</f>
        <v>1369</v>
      </c>
      <c r="C21" s="61"/>
      <c r="D21" s="63">
        <f>SUM(D5:D20)</f>
        <v>595</v>
      </c>
      <c r="E21" s="64">
        <f>SUM(E5:E20)</f>
        <v>180</v>
      </c>
      <c r="F21" s="77">
        <f>SUM(F5:F20)</f>
        <v>100</v>
      </c>
      <c r="G21" s="64">
        <f>SUM(G5:G20)</f>
        <v>329</v>
      </c>
      <c r="H21" s="64">
        <f>SUM(H5:H14)</f>
        <v>1340</v>
      </c>
      <c r="I21" s="81"/>
      <c r="J21" s="78"/>
      <c r="K21" s="61"/>
      <c r="L21" s="61"/>
      <c r="M21" s="64">
        <f>SUM(M4:M20)</f>
        <v>0</v>
      </c>
    </row>
    <row r="22" spans="1:13" ht="14.25" customHeight="1">
      <c r="A22" s="154"/>
      <c r="B22" s="155"/>
      <c r="C22" s="154"/>
      <c r="D22" s="155"/>
      <c r="E22" s="155"/>
      <c r="F22" s="154"/>
      <c r="G22" s="76" t="s">
        <v>63</v>
      </c>
      <c r="H22" s="74">
        <f>SUM(H19:H21)</f>
        <v>1694</v>
      </c>
      <c r="I22" s="82">
        <f>SUM(I5:I18)</f>
        <v>0</v>
      </c>
      <c r="J22" s="154"/>
      <c r="K22" s="154"/>
      <c r="L22" s="154"/>
      <c r="M22" s="154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AFE6-6DE2-4C4F-9F5C-70690E872A8A}">
  <sheetPr>
    <tabColor rgb="FFFF0000"/>
  </sheetPr>
  <dimension ref="A1:N7"/>
  <sheetViews>
    <sheetView workbookViewId="0">
      <selection activeCell="L9" sqref="A1:L9"/>
    </sheetView>
  </sheetViews>
  <sheetFormatPr defaultColWidth="8.5703125" defaultRowHeight="14.25" customHeight="1"/>
  <cols>
    <col min="1" max="1" width="22.28515625" style="1" customWidth="1"/>
    <col min="2" max="2" width="23.85546875" style="1" customWidth="1"/>
    <col min="3" max="3" width="20.28515625" style="1" customWidth="1"/>
    <col min="4" max="4" width="22.5703125" style="1" customWidth="1"/>
    <col min="5" max="5" width="22.7109375" style="1" customWidth="1"/>
    <col min="6" max="7" width="24.7109375" style="1" customWidth="1"/>
    <col min="8" max="9" width="29.140625" style="1" customWidth="1"/>
    <col min="10" max="10" width="21.7109375" style="1" customWidth="1"/>
    <col min="11" max="11" width="26" style="1" customWidth="1"/>
    <col min="12" max="12" width="24.85546875" style="1" customWidth="1"/>
    <col min="13" max="13" width="25.7109375" style="1" customWidth="1"/>
    <col min="14" max="14" width="18.7109375" style="1" customWidth="1"/>
    <col min="15" max="16384" width="8.5703125" style="1"/>
  </cols>
  <sheetData>
    <row r="1" spans="1:14" ht="14.25" customHeight="1">
      <c r="A1" s="146" t="s">
        <v>22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4" ht="14.25" customHeight="1">
      <c r="A2" s="148" t="s">
        <v>23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1:14" ht="14.25" customHeight="1">
      <c r="A3"/>
      <c r="B3"/>
      <c r="C3"/>
      <c r="D3"/>
      <c r="E3"/>
      <c r="F3"/>
      <c r="G3"/>
      <c r="H3"/>
      <c r="I3"/>
      <c r="J3"/>
      <c r="K3"/>
      <c r="L3"/>
    </row>
    <row r="4" spans="1:14" ht="14.25" customHeight="1">
      <c r="A4" s="4" t="s">
        <v>24</v>
      </c>
      <c r="B4" s="4" t="s">
        <v>25</v>
      </c>
      <c r="C4" s="36" t="s">
        <v>26</v>
      </c>
      <c r="D4" s="4" t="s">
        <v>27</v>
      </c>
      <c r="E4" s="38" t="s">
        <v>28</v>
      </c>
      <c r="F4" s="4" t="s">
        <v>29</v>
      </c>
      <c r="G4" s="4" t="s">
        <v>30</v>
      </c>
      <c r="H4" s="4" t="s">
        <v>31</v>
      </c>
      <c r="I4" s="4" t="s">
        <v>33</v>
      </c>
      <c r="J4" s="4" t="s">
        <v>34</v>
      </c>
      <c r="K4" s="4" t="s">
        <v>35</v>
      </c>
      <c r="L4" s="4" t="s">
        <v>36</v>
      </c>
    </row>
    <row r="5" spans="1:14" ht="14.25" customHeight="1">
      <c r="A5" s="5" t="s">
        <v>70</v>
      </c>
      <c r="B5" s="30">
        <v>10</v>
      </c>
      <c r="C5" s="37" t="s">
        <v>9</v>
      </c>
      <c r="D5" s="40">
        <v>5</v>
      </c>
      <c r="E5" s="39">
        <v>0</v>
      </c>
      <c r="F5" s="41"/>
      <c r="G5" s="6"/>
      <c r="H5" s="7">
        <v>15</v>
      </c>
      <c r="I5" s="10">
        <v>46082</v>
      </c>
      <c r="J5" s="8" t="s">
        <v>54</v>
      </c>
      <c r="K5" s="8" t="s">
        <v>12</v>
      </c>
      <c r="L5" s="6"/>
    </row>
    <row r="6" spans="1:14" ht="14.25" customHeight="1">
      <c r="A6" s="51"/>
      <c r="B6" s="52"/>
      <c r="C6" s="52"/>
      <c r="D6" s="52"/>
      <c r="E6" s="52"/>
      <c r="F6" s="52"/>
      <c r="G6" s="52"/>
      <c r="H6" s="52"/>
      <c r="I6" s="53"/>
      <c r="J6" s="55"/>
      <c r="K6" s="54"/>
      <c r="L6"/>
    </row>
    <row r="7" spans="1:14" ht="14.25" customHeight="1">
      <c r="A7" s="61" t="s">
        <v>62</v>
      </c>
      <c r="B7" s="62">
        <f ca="1">SUM(B:B)</f>
        <v>0</v>
      </c>
      <c r="C7" s="61"/>
      <c r="D7" s="63">
        <f>SUM(D5:D6)</f>
        <v>5</v>
      </c>
      <c r="E7" s="64">
        <f>SUM(E5:E6)</f>
        <v>0</v>
      </c>
      <c r="F7" s="64">
        <f>SUM(F5:F6)</f>
        <v>0</v>
      </c>
      <c r="G7" s="64">
        <f>SUM(G5:G6)</f>
        <v>0</v>
      </c>
      <c r="H7" s="64">
        <f>SUM(H5:H6)</f>
        <v>15</v>
      </c>
      <c r="I7" s="61"/>
      <c r="J7" s="61"/>
      <c r="K7" s="61"/>
      <c r="L7" s="64">
        <f>SUM(L5:L6)</f>
        <v>0</v>
      </c>
      <c r="M7" s="58"/>
      <c r="N7" s="58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8AE-520C-4709-9CA6-C07A9CD76C04}">
  <sheetPr>
    <tabColor rgb="FF7030A0"/>
  </sheetPr>
  <dimension ref="A1:N7"/>
  <sheetViews>
    <sheetView workbookViewId="0">
      <selection activeCell="B30" sqref="B30"/>
    </sheetView>
  </sheetViews>
  <sheetFormatPr defaultColWidth="8.5703125" defaultRowHeight="14.25" customHeight="1"/>
  <cols>
    <col min="1" max="1" width="22.28515625" style="1" customWidth="1"/>
    <col min="2" max="2" width="23.85546875" style="1" customWidth="1"/>
    <col min="3" max="3" width="20.28515625" style="1" customWidth="1"/>
    <col min="4" max="4" width="22.5703125" style="1" customWidth="1"/>
    <col min="5" max="5" width="22.7109375" style="1" customWidth="1"/>
    <col min="6" max="7" width="24.7109375" style="1" customWidth="1"/>
    <col min="8" max="9" width="29.140625" style="1" customWidth="1"/>
    <col min="10" max="10" width="21.7109375" style="1" customWidth="1"/>
    <col min="11" max="11" width="26" style="1" customWidth="1"/>
    <col min="12" max="12" width="24.85546875" style="1" customWidth="1"/>
    <col min="13" max="13" width="25.7109375" style="1" customWidth="1"/>
    <col min="14" max="14" width="18.7109375" style="1" customWidth="1"/>
    <col min="15" max="16384" width="8.5703125" style="1"/>
  </cols>
  <sheetData>
    <row r="1" spans="1:14" ht="14.25" customHeight="1">
      <c r="A1" s="146" t="s">
        <v>22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4" ht="14.25" customHeight="1">
      <c r="A2" s="148" t="s">
        <v>23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1:14" ht="14.25" customHeight="1">
      <c r="A3"/>
      <c r="B3"/>
      <c r="C3"/>
      <c r="D3"/>
      <c r="E3"/>
      <c r="F3"/>
      <c r="G3"/>
      <c r="H3"/>
      <c r="I3"/>
      <c r="J3"/>
      <c r="K3"/>
      <c r="L3"/>
    </row>
    <row r="4" spans="1:14" ht="14.25" customHeight="1">
      <c r="A4" s="4" t="s">
        <v>24</v>
      </c>
      <c r="B4" s="4" t="s">
        <v>25</v>
      </c>
      <c r="C4" s="36" t="s">
        <v>26</v>
      </c>
      <c r="D4" s="4" t="s">
        <v>27</v>
      </c>
      <c r="E4" s="38" t="s">
        <v>28</v>
      </c>
      <c r="F4" s="4" t="s">
        <v>29</v>
      </c>
      <c r="G4" s="4" t="s">
        <v>30</v>
      </c>
      <c r="H4" s="4" t="s">
        <v>31</v>
      </c>
      <c r="I4" s="4" t="s">
        <v>33</v>
      </c>
      <c r="J4" s="4" t="s">
        <v>34</v>
      </c>
      <c r="K4" s="4" t="s">
        <v>35</v>
      </c>
      <c r="L4" s="4" t="s">
        <v>36</v>
      </c>
    </row>
    <row r="5" spans="1:14" ht="14.25" customHeight="1">
      <c r="A5" s="5" t="s">
        <v>70</v>
      </c>
      <c r="B5" s="30">
        <v>10</v>
      </c>
      <c r="C5" s="37" t="s">
        <v>9</v>
      </c>
      <c r="D5" s="40">
        <v>5</v>
      </c>
      <c r="E5" s="39">
        <v>0</v>
      </c>
      <c r="F5" s="41"/>
      <c r="G5" s="6"/>
      <c r="H5" s="7">
        <v>15</v>
      </c>
      <c r="I5" s="10">
        <v>46082</v>
      </c>
      <c r="J5" s="8" t="s">
        <v>54</v>
      </c>
      <c r="K5" s="8" t="s">
        <v>12</v>
      </c>
      <c r="L5" s="6"/>
    </row>
    <row r="6" spans="1:14" ht="14.25" customHeight="1">
      <c r="A6" s="51"/>
      <c r="B6" s="52"/>
      <c r="C6" s="52"/>
      <c r="D6" s="52"/>
      <c r="E6" s="52"/>
      <c r="F6" s="52"/>
      <c r="G6" s="52"/>
      <c r="H6" s="52"/>
      <c r="I6" s="53"/>
      <c r="J6" s="55"/>
      <c r="K6" s="54"/>
      <c r="L6"/>
    </row>
    <row r="7" spans="1:14" ht="14.25" customHeight="1">
      <c r="A7" s="61" t="s">
        <v>62</v>
      </c>
      <c r="B7" s="62">
        <f ca="1">SUM(B:B)</f>
        <v>0</v>
      </c>
      <c r="C7" s="61"/>
      <c r="D7" s="63">
        <f>SUM(D5:D6)</f>
        <v>5</v>
      </c>
      <c r="E7" s="64">
        <f>SUM(E5:E6)</f>
        <v>0</v>
      </c>
      <c r="F7" s="64">
        <f>SUM(F5:F6)</f>
        <v>0</v>
      </c>
      <c r="G7" s="64">
        <f>SUM(G5:G6)</f>
        <v>0</v>
      </c>
      <c r="H7" s="64">
        <f>SUM(H5:H6)</f>
        <v>15</v>
      </c>
      <c r="I7" s="61"/>
      <c r="J7" s="61"/>
      <c r="K7" s="61"/>
      <c r="L7" s="64">
        <f>SUM(L5:L6)</f>
        <v>0</v>
      </c>
      <c r="M7" s="58"/>
      <c r="N7" s="58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0FCB-58DC-49A9-A23E-3DD4B327EA21}">
  <sheetPr>
    <tabColor rgb="FF32A4E6"/>
  </sheetPr>
  <dimension ref="A1:O13"/>
  <sheetViews>
    <sheetView topLeftCell="G17" workbookViewId="0">
      <selection activeCell="G17" sqref="G17"/>
    </sheetView>
  </sheetViews>
  <sheetFormatPr defaultColWidth="9.140625" defaultRowHeight="15"/>
  <cols>
    <col min="1" max="1" width="14.42578125" style="43" customWidth="1"/>
    <col min="2" max="2" width="19.85546875" style="43" bestFit="1" customWidth="1"/>
    <col min="3" max="3" width="12.85546875" style="43" customWidth="1"/>
    <col min="4" max="4" width="11" style="43" customWidth="1"/>
    <col min="5" max="5" width="12" style="43" customWidth="1"/>
    <col min="6" max="6" width="11.85546875" style="43" customWidth="1"/>
    <col min="7" max="7" width="12.5703125" style="43" customWidth="1"/>
    <col min="8" max="8" width="11.5703125" style="43" customWidth="1"/>
    <col min="9" max="9" width="14.85546875" style="43" customWidth="1"/>
    <col min="10" max="10" width="11.5703125" style="43" customWidth="1"/>
    <col min="11" max="11" width="10.7109375" style="43" customWidth="1"/>
    <col min="12" max="13" width="11.7109375" style="43" customWidth="1"/>
    <col min="14" max="14" width="14.28515625" style="43" customWidth="1"/>
    <col min="15" max="15" width="14" style="43" customWidth="1"/>
    <col min="16" max="16384" width="9.140625" style="43"/>
  </cols>
  <sheetData>
    <row r="1" spans="1:15" s="42" customFormat="1" ht="18.75" customHeight="1">
      <c r="A1" s="149" t="s">
        <v>71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s="42" customFormat="1" ht="34.5" customHeight="1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>
      <c r="A3" s="173" t="s">
        <v>72</v>
      </c>
      <c r="B3" s="173" t="s">
        <v>24</v>
      </c>
      <c r="C3" s="173" t="s">
        <v>73</v>
      </c>
      <c r="D3" s="173" t="s">
        <v>74</v>
      </c>
      <c r="E3" s="173" t="s">
        <v>75</v>
      </c>
      <c r="F3" s="173" t="s">
        <v>76</v>
      </c>
      <c r="G3" s="173" t="s">
        <v>77</v>
      </c>
      <c r="H3" s="173" t="s">
        <v>78</v>
      </c>
      <c r="I3" s="173" t="s">
        <v>79</v>
      </c>
      <c r="J3" s="173" t="s">
        <v>80</v>
      </c>
      <c r="K3" s="173" t="s">
        <v>81</v>
      </c>
      <c r="L3" s="173" t="s">
        <v>82</v>
      </c>
      <c r="M3" s="173" t="s">
        <v>83</v>
      </c>
      <c r="N3" s="173" t="s">
        <v>84</v>
      </c>
      <c r="O3" s="173" t="s">
        <v>12</v>
      </c>
    </row>
    <row r="4" spans="1:15">
      <c r="A4" s="174" t="s">
        <v>85</v>
      </c>
      <c r="B4" s="174" t="s">
        <v>86</v>
      </c>
      <c r="C4" s="44" t="s">
        <v>87</v>
      </c>
      <c r="D4" s="174" t="s">
        <v>88</v>
      </c>
      <c r="E4" s="44" t="s">
        <v>87</v>
      </c>
      <c r="F4" s="174" t="s">
        <v>87</v>
      </c>
      <c r="G4" s="174"/>
      <c r="H4" s="174"/>
      <c r="I4" s="174"/>
      <c r="J4" s="174"/>
      <c r="K4" s="174"/>
      <c r="L4" s="174"/>
      <c r="M4" s="44" t="s">
        <v>89</v>
      </c>
      <c r="N4" s="174"/>
      <c r="O4" s="174"/>
    </row>
    <row r="5" spans="1:15">
      <c r="A5" s="174" t="s">
        <v>90</v>
      </c>
      <c r="B5" s="174" t="s">
        <v>91</v>
      </c>
      <c r="C5" s="174" t="s">
        <v>87</v>
      </c>
      <c r="D5" s="174" t="s">
        <v>87</v>
      </c>
      <c r="E5" s="174" t="s">
        <v>87</v>
      </c>
      <c r="F5" s="44" t="s">
        <v>87</v>
      </c>
      <c r="G5" s="174"/>
      <c r="H5" s="174"/>
      <c r="I5" s="174"/>
      <c r="J5" s="174"/>
      <c r="K5" s="174"/>
      <c r="L5" s="174"/>
      <c r="M5" s="174" t="s">
        <v>89</v>
      </c>
      <c r="N5" s="174"/>
      <c r="O5" s="174"/>
    </row>
    <row r="6" spans="1:15">
      <c r="A6" s="174" t="s">
        <v>92</v>
      </c>
      <c r="B6" s="174" t="s">
        <v>93</v>
      </c>
      <c r="C6" s="44" t="s">
        <v>87</v>
      </c>
      <c r="D6" s="44" t="s">
        <v>87</v>
      </c>
      <c r="E6" s="174" t="s">
        <v>87</v>
      </c>
      <c r="F6" s="174" t="s">
        <v>87</v>
      </c>
      <c r="G6" s="174"/>
      <c r="H6" s="174"/>
      <c r="I6" s="174"/>
      <c r="J6" s="174"/>
      <c r="K6" s="174"/>
      <c r="L6" s="174"/>
      <c r="M6" s="44" t="s">
        <v>89</v>
      </c>
      <c r="N6" s="174"/>
      <c r="O6" s="174"/>
    </row>
    <row r="7" spans="1:15">
      <c r="A7" s="174" t="s">
        <v>94</v>
      </c>
      <c r="B7" s="174" t="s">
        <v>95</v>
      </c>
      <c r="C7" s="174" t="s">
        <v>87</v>
      </c>
      <c r="D7" s="44" t="s">
        <v>87</v>
      </c>
      <c r="E7" s="174" t="s">
        <v>87</v>
      </c>
      <c r="F7" s="44" t="s">
        <v>87</v>
      </c>
      <c r="G7" s="174"/>
      <c r="H7" s="174"/>
      <c r="I7" s="174"/>
      <c r="J7" s="174"/>
      <c r="K7" s="174"/>
      <c r="L7" s="174"/>
      <c r="M7" s="44" t="s">
        <v>89</v>
      </c>
      <c r="N7" s="174"/>
      <c r="O7" s="174"/>
    </row>
    <row r="8" spans="1:15">
      <c r="A8" s="174" t="s">
        <v>96</v>
      </c>
      <c r="B8" s="174" t="s">
        <v>97</v>
      </c>
      <c r="C8" s="174" t="s">
        <v>87</v>
      </c>
      <c r="D8" s="44" t="s">
        <v>87</v>
      </c>
      <c r="E8" s="174" t="s">
        <v>87</v>
      </c>
      <c r="F8" s="174" t="s">
        <v>87</v>
      </c>
      <c r="G8" s="174"/>
      <c r="H8" s="174"/>
      <c r="I8" s="174"/>
      <c r="J8" s="174"/>
      <c r="K8" s="174"/>
      <c r="L8" s="174"/>
      <c r="M8" s="44" t="s">
        <v>89</v>
      </c>
      <c r="N8" s="174"/>
      <c r="O8" s="174"/>
    </row>
    <row r="9" spans="1:15">
      <c r="A9" s="174" t="s">
        <v>98</v>
      </c>
      <c r="B9" s="174" t="s">
        <v>99</v>
      </c>
      <c r="C9" s="174" t="s">
        <v>100</v>
      </c>
      <c r="D9" s="44" t="s">
        <v>87</v>
      </c>
      <c r="E9" s="44" t="s">
        <v>87</v>
      </c>
      <c r="F9" s="174" t="s">
        <v>87</v>
      </c>
      <c r="G9" s="174"/>
      <c r="H9" s="174"/>
      <c r="I9" s="174"/>
      <c r="J9" s="174"/>
      <c r="K9" s="174"/>
      <c r="L9" s="174"/>
      <c r="M9" s="44" t="s">
        <v>101</v>
      </c>
      <c r="N9" s="174"/>
      <c r="O9" s="174"/>
    </row>
    <row r="10" spans="1:15">
      <c r="A10" s="174" t="s">
        <v>102</v>
      </c>
      <c r="B10" s="174" t="s">
        <v>103</v>
      </c>
      <c r="C10" s="44" t="s">
        <v>87</v>
      </c>
      <c r="D10" s="44" t="s">
        <v>87</v>
      </c>
      <c r="E10" s="174" t="s">
        <v>87</v>
      </c>
      <c r="F10" s="174" t="s">
        <v>87</v>
      </c>
      <c r="G10" s="174"/>
      <c r="H10" s="174"/>
      <c r="I10" s="174"/>
      <c r="J10" s="174"/>
      <c r="K10" s="174"/>
      <c r="L10" s="174"/>
      <c r="M10" s="44" t="s">
        <v>89</v>
      </c>
      <c r="N10" s="174"/>
      <c r="O10" s="174"/>
    </row>
    <row r="11" spans="1:15">
      <c r="A11" s="174" t="s">
        <v>104</v>
      </c>
      <c r="B11" s="174" t="s">
        <v>105</v>
      </c>
      <c r="C11" s="44" t="s">
        <v>87</v>
      </c>
      <c r="D11" s="174" t="s">
        <v>87</v>
      </c>
      <c r="E11" s="174" t="s">
        <v>87</v>
      </c>
      <c r="F11" s="174" t="s">
        <v>87</v>
      </c>
      <c r="G11" s="174"/>
      <c r="H11" s="174"/>
      <c r="I11" s="174"/>
      <c r="J11" s="174"/>
      <c r="K11" s="174"/>
      <c r="L11" s="174"/>
      <c r="M11" s="44" t="s">
        <v>89</v>
      </c>
      <c r="N11" s="174"/>
      <c r="O11" s="174"/>
    </row>
    <row r="12" spans="1:15">
      <c r="A12" s="174" t="s">
        <v>106</v>
      </c>
      <c r="B12" s="174" t="s">
        <v>107</v>
      </c>
      <c r="C12" s="174" t="s">
        <v>87</v>
      </c>
      <c r="D12" s="44" t="s">
        <v>87</v>
      </c>
      <c r="E12" s="44" t="s">
        <v>87</v>
      </c>
      <c r="F12" s="174" t="s">
        <v>87</v>
      </c>
      <c r="G12" s="174"/>
      <c r="H12" s="174"/>
      <c r="I12" s="174"/>
      <c r="J12" s="174"/>
      <c r="K12" s="174"/>
      <c r="L12" s="174"/>
      <c r="M12" s="44" t="s">
        <v>89</v>
      </c>
      <c r="N12" s="174"/>
      <c r="O12" s="174"/>
    </row>
    <row r="13" spans="1:15">
      <c r="A13" s="174" t="s">
        <v>108</v>
      </c>
      <c r="B13" s="174" t="s">
        <v>109</v>
      </c>
      <c r="C13" s="174" t="s">
        <v>87</v>
      </c>
      <c r="D13" s="44" t="s">
        <v>87</v>
      </c>
      <c r="E13" s="44" t="s">
        <v>87</v>
      </c>
      <c r="F13" s="174" t="s">
        <v>87</v>
      </c>
      <c r="G13" s="174"/>
      <c r="H13" s="174"/>
      <c r="I13" s="174"/>
      <c r="J13" s="174"/>
      <c r="K13" s="174"/>
      <c r="L13" s="174"/>
      <c r="M13" s="44" t="s">
        <v>89</v>
      </c>
      <c r="N13" s="174"/>
      <c r="O13" s="174"/>
    </row>
  </sheetData>
  <mergeCells count="2">
    <mergeCell ref="A1:O1"/>
    <mergeCell ref="A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9C38-E77A-4391-B761-9F067B6AA73E}">
  <sheetPr>
    <tabColor rgb="FF0CFA8B"/>
  </sheetPr>
  <dimension ref="A1:H8"/>
  <sheetViews>
    <sheetView workbookViewId="0">
      <selection activeCell="C21" sqref="C21"/>
    </sheetView>
  </sheetViews>
  <sheetFormatPr defaultRowHeight="15"/>
  <cols>
    <col min="1" max="1" width="28.7109375" customWidth="1"/>
    <col min="2" max="2" width="26.140625" customWidth="1"/>
    <col min="3" max="3" width="23.85546875" customWidth="1"/>
    <col min="4" max="4" width="23.85546875" style="2" customWidth="1"/>
    <col min="5" max="5" width="33" customWidth="1"/>
    <col min="6" max="6" width="22" customWidth="1"/>
    <col min="7" max="7" width="25.140625" customWidth="1"/>
    <col min="8" max="8" width="23.42578125" customWidth="1"/>
    <col min="9" max="9" width="17.140625" customWidth="1"/>
    <col min="10" max="10" width="18.28515625" customWidth="1"/>
  </cols>
  <sheetData>
    <row r="1" spans="1:8">
      <c r="A1" s="152" t="s">
        <v>110</v>
      </c>
      <c r="B1" s="153"/>
      <c r="C1" s="153"/>
      <c r="D1" s="153"/>
      <c r="E1" s="153"/>
      <c r="F1" s="153"/>
      <c r="G1" s="153"/>
      <c r="H1" s="153"/>
    </row>
    <row r="2" spans="1:8">
      <c r="D2"/>
    </row>
    <row r="3" spans="1:8">
      <c r="A3" s="45" t="s">
        <v>111</v>
      </c>
      <c r="B3" s="45" t="s">
        <v>112</v>
      </c>
      <c r="C3" s="45" t="s">
        <v>113</v>
      </c>
      <c r="D3" s="45" t="s">
        <v>31</v>
      </c>
      <c r="E3" s="45" t="s">
        <v>114</v>
      </c>
      <c r="F3" s="45" t="s">
        <v>115</v>
      </c>
      <c r="G3" s="45" t="s">
        <v>116</v>
      </c>
      <c r="H3" s="45" t="s">
        <v>117</v>
      </c>
    </row>
    <row r="4" spans="1:8">
      <c r="A4" s="31"/>
      <c r="B4" s="32"/>
      <c r="C4" s="32"/>
      <c r="D4" s="32"/>
      <c r="E4" s="33"/>
      <c r="F4" s="32"/>
      <c r="G4" s="31"/>
      <c r="H4" s="31"/>
    </row>
    <row r="5" spans="1:8">
      <c r="A5" s="31"/>
      <c r="B5" s="32"/>
      <c r="C5" s="32"/>
      <c r="D5" s="32"/>
      <c r="E5" s="33"/>
      <c r="F5" s="32"/>
      <c r="G5" s="31"/>
      <c r="H5" s="31"/>
    </row>
    <row r="6" spans="1:8">
      <c r="A6" s="31"/>
      <c r="B6" s="32"/>
      <c r="C6" s="32"/>
      <c r="D6" s="32"/>
      <c r="E6" s="33"/>
      <c r="F6" s="32"/>
      <c r="G6" s="31"/>
      <c r="H6" s="31"/>
    </row>
    <row r="7" spans="1:8">
      <c r="A7" s="31"/>
      <c r="B7" s="32"/>
      <c r="C7" s="32"/>
      <c r="D7" s="32"/>
      <c r="E7" s="33"/>
      <c r="F7" s="32"/>
      <c r="G7" s="31"/>
      <c r="H7" s="31"/>
    </row>
    <row r="8" spans="1:8">
      <c r="A8" s="31"/>
      <c r="B8" s="32"/>
      <c r="C8" s="32"/>
      <c r="D8" s="32"/>
      <c r="E8" s="33"/>
      <c r="F8" s="32"/>
      <c r="G8" s="31"/>
      <c r="H8" s="3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A3AC-E346-4DB0-B13F-7F0630EFCEAD}">
  <sheetPr>
    <tabColor theme="1"/>
  </sheetPr>
  <dimension ref="A1:D18"/>
  <sheetViews>
    <sheetView topLeftCell="A2" zoomScaleNormal="60" zoomScaleSheetLayoutView="100" workbookViewId="0">
      <selection activeCell="A16" sqref="A16"/>
    </sheetView>
  </sheetViews>
  <sheetFormatPr defaultRowHeight="15"/>
  <cols>
    <col min="1" max="1" width="45.5703125" customWidth="1"/>
    <col min="2" max="2" width="31.140625" customWidth="1"/>
    <col min="3" max="3" width="24.42578125" customWidth="1"/>
    <col min="4" max="4" width="33.85546875" customWidth="1"/>
    <col min="5" max="5" width="11.5703125" bestFit="1" customWidth="1"/>
  </cols>
  <sheetData>
    <row r="1" spans="1:4">
      <c r="A1" s="152" t="s">
        <v>118</v>
      </c>
      <c r="B1" s="153"/>
      <c r="C1" s="153"/>
      <c r="D1" s="153"/>
    </row>
    <row r="2" spans="1:4">
      <c r="A2" s="35"/>
      <c r="B2" s="35"/>
      <c r="C2" s="35"/>
      <c r="D2" s="35"/>
    </row>
    <row r="3" spans="1:4">
      <c r="A3" s="45" t="s">
        <v>119</v>
      </c>
      <c r="B3" s="45" t="s">
        <v>120</v>
      </c>
      <c r="C3" s="45" t="s">
        <v>121</v>
      </c>
      <c r="D3" s="45" t="s">
        <v>117</v>
      </c>
    </row>
    <row r="4" spans="1:4">
      <c r="A4" s="47" t="s">
        <v>122</v>
      </c>
      <c r="B4" s="34"/>
      <c r="C4" s="46" t="s">
        <v>123</v>
      </c>
      <c r="D4" s="31"/>
    </row>
    <row r="5" spans="1:4">
      <c r="A5" s="47" t="s">
        <v>47</v>
      </c>
      <c r="B5" s="34"/>
      <c r="C5" s="46" t="s">
        <v>123</v>
      </c>
      <c r="D5" s="31"/>
    </row>
    <row r="6" spans="1:4">
      <c r="A6" s="47" t="s">
        <v>124</v>
      </c>
      <c r="B6" s="34"/>
      <c r="C6" s="46" t="s">
        <v>123</v>
      </c>
      <c r="D6" s="31"/>
    </row>
    <row r="7" spans="1:4">
      <c r="A7" s="47" t="s">
        <v>125</v>
      </c>
      <c r="B7" s="34"/>
      <c r="C7" s="46" t="s">
        <v>123</v>
      </c>
      <c r="D7" s="31"/>
    </row>
    <row r="8" spans="1:4">
      <c r="A8" s="47" t="s">
        <v>126</v>
      </c>
      <c r="B8" s="34"/>
      <c r="C8" s="46" t="s">
        <v>123</v>
      </c>
      <c r="D8" s="31"/>
    </row>
    <row r="9" spans="1:4">
      <c r="A9" s="47" t="s">
        <v>127</v>
      </c>
      <c r="B9" s="34"/>
      <c r="C9" s="46" t="s">
        <v>123</v>
      </c>
      <c r="D9" s="31"/>
    </row>
    <row r="10" spans="1:4">
      <c r="A10" s="47" t="s">
        <v>128</v>
      </c>
      <c r="B10" s="34"/>
      <c r="C10" s="46" t="s">
        <v>123</v>
      </c>
      <c r="D10" s="31"/>
    </row>
    <row r="11" spans="1:4">
      <c r="A11" s="47" t="s">
        <v>129</v>
      </c>
      <c r="B11" s="34"/>
      <c r="C11" s="46" t="s">
        <v>123</v>
      </c>
      <c r="D11" s="31"/>
    </row>
    <row r="12" spans="1:4">
      <c r="A12" s="47" t="s">
        <v>130</v>
      </c>
      <c r="B12" s="34"/>
      <c r="C12" s="46" t="s">
        <v>123</v>
      </c>
      <c r="D12" s="31"/>
    </row>
    <row r="13" spans="1:4">
      <c r="A13" s="47" t="s">
        <v>131</v>
      </c>
      <c r="B13" s="34"/>
      <c r="C13" s="46" t="s">
        <v>123</v>
      </c>
      <c r="D13" s="31"/>
    </row>
    <row r="14" spans="1:4">
      <c r="A14" s="47" t="s">
        <v>132</v>
      </c>
      <c r="B14" s="34"/>
      <c r="C14" s="46" t="s">
        <v>123</v>
      </c>
      <c r="D14" s="31"/>
    </row>
    <row r="15" spans="1:4">
      <c r="A15" s="47" t="s">
        <v>133</v>
      </c>
      <c r="B15" s="34"/>
      <c r="C15" s="46" t="s">
        <v>123</v>
      </c>
      <c r="D15" s="31"/>
    </row>
    <row r="16" spans="1:4">
      <c r="A16" s="47" t="s">
        <v>134</v>
      </c>
      <c r="B16" s="34"/>
      <c r="C16" s="46" t="s">
        <v>123</v>
      </c>
      <c r="D16" s="31"/>
    </row>
    <row r="17" spans="1:4">
      <c r="A17" s="47" t="s">
        <v>135</v>
      </c>
      <c r="B17" s="34"/>
      <c r="C17" s="46" t="s">
        <v>123</v>
      </c>
      <c r="D17" s="31"/>
    </row>
    <row r="18" spans="1:4">
      <c r="A18" s="47" t="s">
        <v>136</v>
      </c>
      <c r="B18" s="34"/>
      <c r="C18" s="46" t="s">
        <v>123</v>
      </c>
      <c r="D18" s="3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2025-02-21T20:10:59Z</dcterms:created>
  <dcterms:modified xsi:type="dcterms:W3CDTF">2026-03-26T01:39:40Z</dcterms:modified>
  <cp:category/>
  <cp:contentStatus/>
</cp:coreProperties>
</file>